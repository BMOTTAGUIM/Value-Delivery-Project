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SILVA1\Downloads\"/>
    </mc:Choice>
  </mc:AlternateContent>
  <xr:revisionPtr revIDLastSave="0" documentId="8_{CABCAF3D-8CDD-4A09-B9C1-EA215E155C85}" xr6:coauthVersionLast="47" xr6:coauthVersionMax="47" xr10:uidLastSave="{00000000-0000-0000-0000-000000000000}"/>
  <bookViews>
    <workbookView xWindow="-28920" yWindow="-120" windowWidth="29040" windowHeight="15720" xr2:uid="{E19FABBE-8B2A-4148-832B-0F17B2A8FE7C}"/>
  </bookViews>
  <sheets>
    <sheet name="Base" sheetId="1" r:id="rId1"/>
    <sheet name="Resultados" sheetId="2" r:id="rId2"/>
  </sheets>
  <definedNames>
    <definedName name="_xlnm._FilterDatabase" localSheetId="0" hidden="1">Base!$A$2:$W$224</definedName>
  </definedNames>
  <calcPr calcId="191029"/>
  <pivotCaches>
    <pivotCache cacheId="4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1" i="2" l="1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I21" i="2"/>
  <c r="I20" i="2"/>
  <c r="I19" i="2"/>
  <c r="I18" i="2"/>
  <c r="I10" i="2"/>
  <c r="H10" i="2"/>
  <c r="J224" i="1"/>
  <c r="K224" i="1" s="1"/>
  <c r="I224" i="1"/>
  <c r="J223" i="1"/>
  <c r="K223" i="1" s="1"/>
  <c r="I223" i="1"/>
  <c r="J222" i="1"/>
  <c r="K222" i="1" s="1"/>
  <c r="I222" i="1"/>
  <c r="J221" i="1"/>
  <c r="K221" i="1" s="1"/>
  <c r="I221" i="1"/>
  <c r="J220" i="1"/>
  <c r="K220" i="1" s="1"/>
  <c r="I220" i="1"/>
  <c r="J219" i="1"/>
  <c r="K219" i="1" s="1"/>
  <c r="I219" i="1"/>
  <c r="J218" i="1"/>
  <c r="K218" i="1" s="1"/>
  <c r="I218" i="1"/>
  <c r="J217" i="1"/>
  <c r="K217" i="1" s="1"/>
  <c r="I217" i="1"/>
  <c r="J216" i="1"/>
  <c r="K216" i="1" s="1"/>
  <c r="I216" i="1"/>
  <c r="J215" i="1"/>
  <c r="K215" i="1" s="1"/>
  <c r="I215" i="1"/>
  <c r="J214" i="1"/>
  <c r="K214" i="1" s="1"/>
  <c r="I214" i="1"/>
  <c r="J213" i="1"/>
  <c r="K213" i="1" s="1"/>
  <c r="I213" i="1"/>
  <c r="J212" i="1"/>
  <c r="K212" i="1" s="1"/>
  <c r="I212" i="1"/>
  <c r="J211" i="1"/>
  <c r="K211" i="1" s="1"/>
  <c r="I211" i="1"/>
  <c r="J210" i="1"/>
  <c r="K210" i="1" s="1"/>
  <c r="I210" i="1"/>
  <c r="J209" i="1"/>
  <c r="K209" i="1" s="1"/>
  <c r="I209" i="1"/>
  <c r="J208" i="1"/>
  <c r="K208" i="1" s="1"/>
  <c r="I208" i="1"/>
  <c r="J117" i="1"/>
  <c r="K117" i="1" s="1"/>
  <c r="I117" i="1"/>
  <c r="J207" i="1"/>
  <c r="K207" i="1" s="1"/>
  <c r="I207" i="1"/>
  <c r="J206" i="1"/>
  <c r="K206" i="1" s="1"/>
  <c r="I206" i="1"/>
  <c r="J205" i="1"/>
  <c r="K205" i="1" s="1"/>
  <c r="I205" i="1"/>
  <c r="J204" i="1"/>
  <c r="K204" i="1" s="1"/>
  <c r="I204" i="1"/>
  <c r="J203" i="1"/>
  <c r="K203" i="1" s="1"/>
  <c r="I203" i="1"/>
  <c r="J110" i="1"/>
  <c r="K110" i="1" s="1"/>
  <c r="I110" i="1"/>
  <c r="J91" i="1"/>
  <c r="K91" i="1" s="1"/>
  <c r="I91" i="1"/>
  <c r="J202" i="1"/>
  <c r="K202" i="1" s="1"/>
  <c r="I202" i="1"/>
  <c r="J201" i="1"/>
  <c r="K201" i="1" s="1"/>
  <c r="I201" i="1"/>
  <c r="J200" i="1"/>
  <c r="K200" i="1" s="1"/>
  <c r="I200" i="1"/>
  <c r="J199" i="1"/>
  <c r="K199" i="1" s="1"/>
  <c r="I199" i="1"/>
  <c r="J198" i="1"/>
  <c r="K198" i="1" s="1"/>
  <c r="I198" i="1"/>
  <c r="J45" i="1"/>
  <c r="K45" i="1" s="1"/>
  <c r="I45" i="1"/>
  <c r="J197" i="1"/>
  <c r="K197" i="1" s="1"/>
  <c r="I197" i="1"/>
  <c r="J196" i="1"/>
  <c r="K196" i="1" s="1"/>
  <c r="I196" i="1"/>
  <c r="J195" i="1"/>
  <c r="K195" i="1" s="1"/>
  <c r="I195" i="1"/>
  <c r="J194" i="1"/>
  <c r="K194" i="1" s="1"/>
  <c r="I194" i="1"/>
  <c r="J193" i="1"/>
  <c r="K193" i="1" s="1"/>
  <c r="I193" i="1"/>
  <c r="J192" i="1"/>
  <c r="K192" i="1" s="1"/>
  <c r="I192" i="1"/>
  <c r="J191" i="1"/>
  <c r="K191" i="1" s="1"/>
  <c r="I191" i="1"/>
  <c r="J190" i="1"/>
  <c r="K190" i="1" s="1"/>
  <c r="I190" i="1"/>
  <c r="J189" i="1"/>
  <c r="K189" i="1" s="1"/>
  <c r="I189" i="1"/>
  <c r="J188" i="1"/>
  <c r="K188" i="1" s="1"/>
  <c r="I188" i="1"/>
  <c r="J187" i="1"/>
  <c r="K187" i="1" s="1"/>
  <c r="I187" i="1"/>
  <c r="J186" i="1"/>
  <c r="K186" i="1" s="1"/>
  <c r="I186" i="1"/>
  <c r="J185" i="1"/>
  <c r="K185" i="1" s="1"/>
  <c r="I185" i="1"/>
  <c r="J184" i="1"/>
  <c r="K184" i="1" s="1"/>
  <c r="I184" i="1"/>
  <c r="J183" i="1"/>
  <c r="K183" i="1" s="1"/>
  <c r="I183" i="1"/>
  <c r="J182" i="1"/>
  <c r="K182" i="1" s="1"/>
  <c r="I182" i="1"/>
  <c r="J181" i="1"/>
  <c r="K181" i="1" s="1"/>
  <c r="I181" i="1"/>
  <c r="J180" i="1"/>
  <c r="K180" i="1" s="1"/>
  <c r="I180" i="1"/>
  <c r="J179" i="1"/>
  <c r="K179" i="1" s="1"/>
  <c r="I179" i="1"/>
  <c r="J178" i="1"/>
  <c r="K178" i="1" s="1"/>
  <c r="I178" i="1"/>
  <c r="J177" i="1"/>
  <c r="K177" i="1" s="1"/>
  <c r="I177" i="1"/>
  <c r="J176" i="1"/>
  <c r="K176" i="1" s="1"/>
  <c r="I176" i="1"/>
  <c r="J175" i="1"/>
  <c r="K175" i="1" s="1"/>
  <c r="I175" i="1"/>
  <c r="J174" i="1"/>
  <c r="K174" i="1" s="1"/>
  <c r="I174" i="1"/>
  <c r="J173" i="1"/>
  <c r="K173" i="1" s="1"/>
  <c r="I173" i="1"/>
  <c r="J172" i="1"/>
  <c r="K172" i="1" s="1"/>
  <c r="I172" i="1"/>
  <c r="J171" i="1"/>
  <c r="K171" i="1" s="1"/>
  <c r="I171" i="1"/>
  <c r="J170" i="1"/>
  <c r="K170" i="1" s="1"/>
  <c r="I170" i="1"/>
  <c r="J169" i="1"/>
  <c r="K169" i="1" s="1"/>
  <c r="I169" i="1"/>
  <c r="J168" i="1"/>
  <c r="K168" i="1" s="1"/>
  <c r="I168" i="1"/>
  <c r="J167" i="1"/>
  <c r="K167" i="1" s="1"/>
  <c r="I167" i="1"/>
  <c r="J166" i="1"/>
  <c r="K166" i="1" s="1"/>
  <c r="I166" i="1"/>
  <c r="J165" i="1"/>
  <c r="K165" i="1" s="1"/>
  <c r="I165" i="1"/>
  <c r="J164" i="1"/>
  <c r="K164" i="1" s="1"/>
  <c r="J163" i="1"/>
  <c r="K163" i="1" s="1"/>
  <c r="J162" i="1"/>
  <c r="K162" i="1" s="1"/>
  <c r="I162" i="1"/>
  <c r="J161" i="1"/>
  <c r="K161" i="1" s="1"/>
  <c r="I161" i="1"/>
  <c r="J160" i="1"/>
  <c r="K160" i="1" s="1"/>
  <c r="I160" i="1"/>
  <c r="J159" i="1"/>
  <c r="K159" i="1" s="1"/>
  <c r="I159" i="1"/>
  <c r="J158" i="1"/>
  <c r="K158" i="1" s="1"/>
  <c r="I158" i="1"/>
  <c r="J157" i="1"/>
  <c r="K157" i="1" s="1"/>
  <c r="I157" i="1"/>
  <c r="J156" i="1"/>
  <c r="K156" i="1" s="1"/>
  <c r="I156" i="1"/>
  <c r="J155" i="1"/>
  <c r="K155" i="1" s="1"/>
  <c r="I155" i="1"/>
  <c r="J154" i="1"/>
  <c r="K154" i="1" s="1"/>
  <c r="I154" i="1"/>
  <c r="J153" i="1"/>
  <c r="K153" i="1" s="1"/>
  <c r="I153" i="1"/>
  <c r="J152" i="1"/>
  <c r="K152" i="1" s="1"/>
  <c r="I152" i="1"/>
  <c r="J151" i="1"/>
  <c r="K151" i="1" s="1"/>
  <c r="I151" i="1"/>
  <c r="J150" i="1"/>
  <c r="K150" i="1" s="1"/>
  <c r="I150" i="1"/>
  <c r="J149" i="1"/>
  <c r="K149" i="1" s="1"/>
  <c r="I149" i="1"/>
  <c r="J148" i="1"/>
  <c r="K148" i="1" s="1"/>
  <c r="I148" i="1"/>
  <c r="J9" i="1"/>
  <c r="K9" i="1" s="1"/>
  <c r="J147" i="1"/>
  <c r="K147" i="1" s="1"/>
  <c r="I147" i="1"/>
  <c r="J146" i="1"/>
  <c r="K146" i="1" s="1"/>
  <c r="I146" i="1"/>
  <c r="J145" i="1"/>
  <c r="K145" i="1" s="1"/>
  <c r="I145" i="1"/>
  <c r="J125" i="1"/>
  <c r="K125" i="1" s="1"/>
  <c r="I125" i="1"/>
  <c r="J144" i="1"/>
  <c r="K144" i="1" s="1"/>
  <c r="I144" i="1"/>
  <c r="J143" i="1"/>
  <c r="K143" i="1" s="1"/>
  <c r="I143" i="1"/>
  <c r="J124" i="1"/>
  <c r="K124" i="1" s="1"/>
  <c r="I124" i="1"/>
  <c r="J142" i="1"/>
  <c r="K142" i="1" s="1"/>
  <c r="I142" i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I135" i="1"/>
  <c r="J134" i="1"/>
  <c r="K134" i="1" s="1"/>
  <c r="I134" i="1"/>
  <c r="J133" i="1"/>
  <c r="K133" i="1" s="1"/>
  <c r="I133" i="1"/>
  <c r="J132" i="1"/>
  <c r="K132" i="1" s="1"/>
  <c r="I132" i="1"/>
  <c r="J131" i="1"/>
  <c r="K131" i="1" s="1"/>
  <c r="I131" i="1"/>
  <c r="J130" i="1"/>
  <c r="K130" i="1" s="1"/>
  <c r="I130" i="1"/>
  <c r="K129" i="1"/>
  <c r="I129" i="1"/>
  <c r="J123" i="1"/>
  <c r="K123" i="1" s="1"/>
  <c r="I123" i="1"/>
  <c r="J121" i="1"/>
  <c r="K121" i="1" s="1"/>
  <c r="I121" i="1"/>
  <c r="J116" i="1"/>
  <c r="K116" i="1" s="1"/>
  <c r="I116" i="1"/>
  <c r="J119" i="1"/>
  <c r="K119" i="1" s="1"/>
  <c r="J115" i="1"/>
  <c r="K115" i="1" s="1"/>
  <c r="I115" i="1"/>
  <c r="J101" i="1"/>
  <c r="K101" i="1" s="1"/>
  <c r="I101" i="1"/>
  <c r="J100" i="1"/>
  <c r="K100" i="1" s="1"/>
  <c r="I100" i="1"/>
  <c r="J107" i="1"/>
  <c r="K107" i="1" s="1"/>
  <c r="I107" i="1"/>
  <c r="J99" i="1"/>
  <c r="K99" i="1" s="1"/>
  <c r="I99" i="1"/>
  <c r="J92" i="1"/>
  <c r="K92" i="1" s="1"/>
  <c r="I92" i="1"/>
  <c r="J128" i="1"/>
  <c r="K128" i="1" s="1"/>
  <c r="I128" i="1"/>
  <c r="J127" i="1"/>
  <c r="K127" i="1" s="1"/>
  <c r="I127" i="1"/>
  <c r="J80" i="1"/>
  <c r="K80" i="1" s="1"/>
  <c r="I80" i="1"/>
  <c r="J94" i="1"/>
  <c r="K94" i="1" s="1"/>
  <c r="I94" i="1"/>
  <c r="J87" i="1"/>
  <c r="K87" i="1" s="1"/>
  <c r="I87" i="1"/>
  <c r="J85" i="1"/>
  <c r="K85" i="1" s="1"/>
  <c r="J112" i="1"/>
  <c r="K112" i="1" s="1"/>
  <c r="I112" i="1"/>
  <c r="J104" i="1"/>
  <c r="K104" i="1" s="1"/>
  <c r="I104" i="1"/>
  <c r="J81" i="1"/>
  <c r="K81" i="1" s="1"/>
  <c r="I81" i="1"/>
  <c r="J114" i="1"/>
  <c r="K114" i="1" s="1"/>
  <c r="I114" i="1"/>
  <c r="J77" i="1"/>
  <c r="K77" i="1" s="1"/>
  <c r="I77" i="1"/>
  <c r="J109" i="1"/>
  <c r="K109" i="1" s="1"/>
  <c r="I109" i="1"/>
  <c r="J67" i="1"/>
  <c r="K67" i="1" s="1"/>
  <c r="I67" i="1"/>
  <c r="J106" i="1"/>
  <c r="K106" i="1" s="1"/>
  <c r="I106" i="1"/>
  <c r="J103" i="1"/>
  <c r="K103" i="1" s="1"/>
  <c r="I103" i="1"/>
  <c r="J105" i="1"/>
  <c r="K105" i="1" s="1"/>
  <c r="I105" i="1"/>
  <c r="J102" i="1"/>
  <c r="K102" i="1" s="1"/>
  <c r="I102" i="1"/>
  <c r="J95" i="1"/>
  <c r="K95" i="1" s="1"/>
  <c r="I95" i="1"/>
  <c r="J42" i="1"/>
  <c r="K42" i="1" s="1"/>
  <c r="I42" i="1"/>
  <c r="J62" i="1"/>
  <c r="K62" i="1" s="1"/>
  <c r="I62" i="1"/>
  <c r="J98" i="1"/>
  <c r="K98" i="1" s="1"/>
  <c r="J97" i="1"/>
  <c r="K97" i="1" s="1"/>
  <c r="J60" i="1"/>
  <c r="K60" i="1" s="1"/>
  <c r="I60" i="1"/>
  <c r="J49" i="1"/>
  <c r="K49" i="1" s="1"/>
  <c r="I49" i="1"/>
  <c r="J93" i="1"/>
  <c r="K93" i="1" s="1"/>
  <c r="J47" i="1"/>
  <c r="K47" i="1" s="1"/>
  <c r="I47" i="1"/>
  <c r="J90" i="1"/>
  <c r="K90" i="1" s="1"/>
  <c r="J84" i="1"/>
  <c r="K84" i="1" s="1"/>
  <c r="I84" i="1"/>
  <c r="J88" i="1"/>
  <c r="K88" i="1" s="1"/>
  <c r="I88" i="1"/>
  <c r="J64" i="1"/>
  <c r="K64" i="1" s="1"/>
  <c r="I64" i="1"/>
  <c r="J46" i="1"/>
  <c r="K46" i="1" s="1"/>
  <c r="I46" i="1"/>
  <c r="J86" i="1"/>
  <c r="K86" i="1" s="1"/>
  <c r="J89" i="1"/>
  <c r="K89" i="1" s="1"/>
  <c r="J83" i="1"/>
  <c r="K83" i="1" s="1"/>
  <c r="I83" i="1"/>
  <c r="J38" i="1"/>
  <c r="K38" i="1" s="1"/>
  <c r="I38" i="1"/>
  <c r="J96" i="1"/>
  <c r="K96" i="1" s="1"/>
  <c r="I96" i="1"/>
  <c r="J79" i="1"/>
  <c r="K79" i="1" s="1"/>
  <c r="J78" i="1"/>
  <c r="K78" i="1" s="1"/>
  <c r="J68" i="1"/>
  <c r="K68" i="1" s="1"/>
  <c r="I68" i="1"/>
  <c r="J61" i="1"/>
  <c r="K61" i="1" s="1"/>
  <c r="I61" i="1"/>
  <c r="J76" i="1"/>
  <c r="K76" i="1" s="1"/>
  <c r="J41" i="1"/>
  <c r="K41" i="1" s="1"/>
  <c r="I41" i="1"/>
  <c r="J40" i="1"/>
  <c r="K40" i="1" s="1"/>
  <c r="I40" i="1"/>
  <c r="J75" i="1"/>
  <c r="K75" i="1" s="1"/>
  <c r="J74" i="1"/>
  <c r="K74" i="1" s="1"/>
  <c r="J73" i="1"/>
  <c r="K73" i="1" s="1"/>
  <c r="I73" i="1"/>
  <c r="J82" i="1"/>
  <c r="K82" i="1" s="1"/>
  <c r="I82" i="1"/>
  <c r="J37" i="1"/>
  <c r="K37" i="1" s="1"/>
  <c r="I37" i="1"/>
  <c r="J66" i="1"/>
  <c r="K66" i="1" s="1"/>
  <c r="I66" i="1"/>
  <c r="J69" i="1"/>
  <c r="K69" i="1" s="1"/>
  <c r="J70" i="1"/>
  <c r="K70" i="1" s="1"/>
  <c r="J54" i="1"/>
  <c r="K54" i="1" s="1"/>
  <c r="I54" i="1"/>
  <c r="J44" i="1"/>
  <c r="K44" i="1" s="1"/>
  <c r="I44" i="1"/>
  <c r="J65" i="1"/>
  <c r="K65" i="1" s="1"/>
  <c r="J63" i="1"/>
  <c r="K63" i="1" s="1"/>
  <c r="J59" i="1"/>
  <c r="K59" i="1" s="1"/>
  <c r="I59" i="1"/>
  <c r="J28" i="1"/>
  <c r="K28" i="1" s="1"/>
  <c r="I28" i="1"/>
  <c r="J53" i="1"/>
  <c r="K53" i="1" s="1"/>
  <c r="I53" i="1"/>
  <c r="J58" i="1"/>
  <c r="K58" i="1" s="1"/>
  <c r="J57" i="1"/>
  <c r="K57" i="1" s="1"/>
  <c r="J56" i="1"/>
  <c r="K56" i="1" s="1"/>
  <c r="J55" i="1"/>
  <c r="K55" i="1" s="1"/>
  <c r="J52" i="1"/>
  <c r="K52" i="1" s="1"/>
  <c r="J51" i="1"/>
  <c r="K51" i="1" s="1"/>
  <c r="I51" i="1"/>
  <c r="J50" i="1"/>
  <c r="K50" i="1" s="1"/>
  <c r="J27" i="1"/>
  <c r="K27" i="1" s="1"/>
  <c r="I27" i="1"/>
  <c r="J48" i="1"/>
  <c r="K48" i="1" s="1"/>
  <c r="J39" i="1"/>
  <c r="K39" i="1" s="1"/>
  <c r="I39" i="1"/>
  <c r="J24" i="1"/>
  <c r="K24" i="1" s="1"/>
  <c r="I24" i="1"/>
  <c r="J43" i="1"/>
  <c r="K43" i="1" s="1"/>
  <c r="I43" i="1"/>
  <c r="J32" i="1"/>
  <c r="K32" i="1" s="1"/>
  <c r="I32" i="1"/>
  <c r="J23" i="1"/>
  <c r="K23" i="1" s="1"/>
  <c r="I23" i="1"/>
  <c r="J19" i="1"/>
  <c r="K19" i="1" s="1"/>
  <c r="J120" i="1"/>
  <c r="K120" i="1" s="1"/>
  <c r="I120" i="1"/>
  <c r="J25" i="1"/>
  <c r="K25" i="1" s="1"/>
  <c r="I25" i="1"/>
  <c r="J36" i="1"/>
  <c r="K36" i="1" s="1"/>
  <c r="J35" i="1"/>
  <c r="K35" i="1" s="1"/>
  <c r="J34" i="1"/>
  <c r="K34" i="1" s="1"/>
  <c r="J15" i="1"/>
  <c r="K15" i="1" s="1"/>
  <c r="I15" i="1"/>
  <c r="J33" i="1"/>
  <c r="K33" i="1" s="1"/>
  <c r="J122" i="1"/>
  <c r="K122" i="1" s="1"/>
  <c r="J118" i="1"/>
  <c r="K118" i="1" s="1"/>
  <c r="J30" i="1"/>
  <c r="K30" i="1" s="1"/>
  <c r="J29" i="1"/>
  <c r="K29" i="1" s="1"/>
  <c r="J111" i="1"/>
  <c r="K111" i="1" s="1"/>
  <c r="I111" i="1"/>
  <c r="J14" i="1"/>
  <c r="K14" i="1" s="1"/>
  <c r="I14" i="1"/>
  <c r="J26" i="1"/>
  <c r="K26" i="1" s="1"/>
  <c r="J72" i="1"/>
  <c r="K72" i="1" s="1"/>
  <c r="I72" i="1"/>
  <c r="J22" i="1"/>
  <c r="K22" i="1" s="1"/>
  <c r="I22" i="1"/>
  <c r="J113" i="1"/>
  <c r="K113" i="1" s="1"/>
  <c r="I113" i="1"/>
  <c r="J13" i="1"/>
  <c r="K13" i="1" s="1"/>
  <c r="I13" i="1"/>
  <c r="J108" i="1"/>
  <c r="K108" i="1" s="1"/>
  <c r="I108" i="1"/>
  <c r="J21" i="1"/>
  <c r="K21" i="1" s="1"/>
  <c r="J20" i="1"/>
  <c r="K20" i="1" s="1"/>
  <c r="J71" i="1"/>
  <c r="I71" i="1"/>
  <c r="J18" i="1"/>
  <c r="K18" i="1" s="1"/>
  <c r="J16" i="1"/>
  <c r="K16" i="1" s="1"/>
  <c r="I16" i="1"/>
  <c r="J126" i="1"/>
  <c r="K126" i="1" s="1"/>
  <c r="I126" i="1"/>
  <c r="J17" i="1"/>
  <c r="K17" i="1" s="1"/>
  <c r="J6" i="1"/>
  <c r="K6" i="1" s="1"/>
  <c r="I6" i="1"/>
  <c r="J12" i="1"/>
  <c r="K12" i="1" s="1"/>
  <c r="J11" i="1"/>
  <c r="K11" i="1" s="1"/>
  <c r="I11" i="1"/>
  <c r="J10" i="1"/>
  <c r="K10" i="1" s="1"/>
  <c r="J7" i="1"/>
  <c r="K7" i="1" s="1"/>
  <c r="J8" i="1"/>
  <c r="K8" i="1" s="1"/>
  <c r="I8" i="1"/>
  <c r="J3" i="1"/>
  <c r="K3" i="1" s="1"/>
  <c r="I3" i="1"/>
  <c r="J31" i="1"/>
  <c r="K31" i="1" s="1"/>
  <c r="H31" i="1"/>
  <c r="J5" i="1"/>
  <c r="K5" i="1" s="1"/>
  <c r="I5" i="1"/>
  <c r="J4" i="1"/>
  <c r="K4" i="1" s="1"/>
  <c r="I4" i="1"/>
  <c r="W1" i="1"/>
  <c r="V1" i="1"/>
  <c r="U1" i="1"/>
  <c r="T1" i="1"/>
  <c r="S1" i="1"/>
  <c r="R1" i="1"/>
  <c r="Q1" i="1"/>
  <c r="P1" i="1"/>
  <c r="O1" i="1"/>
  <c r="N1" i="1"/>
  <c r="M1" i="1"/>
  <c r="L1" i="1"/>
  <c r="H1" i="1"/>
  <c r="I1" i="1" l="1"/>
  <c r="K71" i="1"/>
  <c r="J1" i="1"/>
  <c r="K1" i="1"/>
</calcChain>
</file>

<file path=xl/sharedStrings.xml><?xml version="1.0" encoding="utf-8"?>
<sst xmlns="http://schemas.openxmlformats.org/spreadsheetml/2006/main" count="1664" uniqueCount="527">
  <si>
    <t>AAPRJ20094</t>
  </si>
  <si>
    <t>Zycus Code</t>
  </si>
  <si>
    <t>Status</t>
  </si>
  <si>
    <t>Project Title</t>
  </si>
  <si>
    <t>Project Owner</t>
  </si>
  <si>
    <t>Team</t>
  </si>
  <si>
    <t>Project Manager</t>
  </si>
  <si>
    <t>Expenditure Type</t>
  </si>
  <si>
    <t>Project Type</t>
  </si>
  <si>
    <t>Expected Savings USD - 2026</t>
  </si>
  <si>
    <t>Expected Savings BRL - 2026</t>
  </si>
  <si>
    <t>Total Delivered 2026 (USD)</t>
  </si>
  <si>
    <t>Total Delivered 2026 (BRL)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</si>
  <si>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</si>
  <si>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</si>
  <si>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</si>
  <si>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</si>
  <si>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</si>
  <si>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</si>
  <si>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</si>
  <si>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</si>
  <si>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</si>
  <si>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</si>
  <si>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</si>
  <si>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</si>
  <si>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AAPRJ19291</t>
  </si>
  <si>
    <t>Nova iniciativa</t>
  </si>
  <si>
    <t>FL26 - Parts discount from Komatsu GFA - Komatsu</t>
  </si>
  <si>
    <t>Global</t>
  </si>
  <si>
    <t>HME, Fuel &amp; Explosives</t>
  </si>
  <si>
    <t>Evandro Guarino</t>
  </si>
  <si>
    <t>Opex</t>
  </si>
  <si>
    <t>Value Protection</t>
  </si>
  <si>
    <t>AAPRJ20901</t>
  </si>
  <si>
    <t>Light Vehicles IOB - Contingency Saving from BID Postponement</t>
  </si>
  <si>
    <t>Tamyris Achoche</t>
  </si>
  <si>
    <t>Indirects</t>
  </si>
  <si>
    <t>Emilia Kaneko</t>
  </si>
  <si>
    <t>EBITDA</t>
  </si>
  <si>
    <t>AAPRJ20317</t>
  </si>
  <si>
    <t>Carry Over</t>
  </si>
  <si>
    <t>FL26 - Petronas - IOB_Lubricants Bidding Process</t>
  </si>
  <si>
    <t>Leonardo Soares</t>
  </si>
  <si>
    <t>AAPRJ18841</t>
  </si>
  <si>
    <t>Acquisition of 7 trucks Negotiation</t>
  </si>
  <si>
    <t>Bruna Oliveira</t>
  </si>
  <si>
    <t>Capex</t>
  </si>
  <si>
    <t>AAPRJ19296</t>
  </si>
  <si>
    <t>FL26 - Raw Materials - Cost Reduction Negotiations 2026</t>
  </si>
  <si>
    <t>Thaiz Araujo</t>
  </si>
  <si>
    <t>Direct Materials</t>
  </si>
  <si>
    <t>AAPRJ20484</t>
  </si>
  <si>
    <t>CO25- IOT Tailings Filtering_Copy</t>
  </si>
  <si>
    <t>Gustavo Andrade</t>
  </si>
  <si>
    <t>Cash</t>
  </si>
  <si>
    <t>AAPRJ20436</t>
  </si>
  <si>
    <t>CO25- Terraplenagem fase 02 da Filtragem</t>
  </si>
  <si>
    <t>AAPRJ20552</t>
  </si>
  <si>
    <t>Devolução Caminhões R&amp;D - (Prime)</t>
  </si>
  <si>
    <t>Matheus Rosa</t>
  </si>
  <si>
    <t>Mining Services &amp; Rebuilds</t>
  </si>
  <si>
    <t>AAPRJ20438</t>
  </si>
  <si>
    <t>CO25- Geradores da Filtragem_Copy</t>
  </si>
  <si>
    <t>AAPRJ20242</t>
  </si>
  <si>
    <t>FL26 - Energy Self-Production Benefits</t>
  </si>
  <si>
    <t>Fernanda Rodrigues</t>
  </si>
  <si>
    <t>Energy</t>
  </si>
  <si>
    <t>AAPRJ20435</t>
  </si>
  <si>
    <t>CO25- Montagem EletromecÃ¢nica da Filtragem_Copy</t>
  </si>
  <si>
    <t>AAPRJ20316</t>
  </si>
  <si>
    <t>FL26 - ENAEX IBQ Nitrate Amendment</t>
  </si>
  <si>
    <t>AAPRJ20244</t>
  </si>
  <si>
    <t>FL26 - Energy Surplus Sales - SPOT</t>
  </si>
  <si>
    <t>AAPRJ20478</t>
  </si>
  <si>
    <t>CO25- Obras Civis da Filtragem_Copy</t>
  </si>
  <si>
    <t>AAPRJ20315</t>
  </si>
  <si>
    <t>FL26 - ENAEX IBQ Explosives Extension Contract</t>
  </si>
  <si>
    <t>AAPRJ20486</t>
  </si>
  <si>
    <t>CO25 - Aditivo ao Contrato Montagem EletromecÃ¢nica MIP_Copy</t>
  </si>
  <si>
    <t>AAPRJ20465</t>
  </si>
  <si>
    <t>CO25- CAPEX Recleaner Flotation: Electromechanical and Civil_Copy</t>
  </si>
  <si>
    <t>AAPRJ19523</t>
  </si>
  <si>
    <t>FL26 - 4600039735 - 12760499 - BID Port Personnel Transport with Ferroport</t>
  </si>
  <si>
    <t>AAPRJ19295</t>
  </si>
  <si>
    <t>FL26 - Raw Material - Cost Reduction Amine 7848</t>
  </si>
  <si>
    <t>AAPRJ20320</t>
  </si>
  <si>
    <t>FL26 - Kluber Lubrificantes</t>
  </si>
  <si>
    <t>AAPRJ20243</t>
  </si>
  <si>
    <t>FL26 - Energy - Renewables - Demand Cost Reduction</t>
  </si>
  <si>
    <t>AAPRJ20087</t>
  </si>
  <si>
    <t>FL26 - Contract Negotiations - Tail Spend</t>
  </si>
  <si>
    <t>Lígia Rocha</t>
  </si>
  <si>
    <t>Tail Spend</t>
  </si>
  <si>
    <t>AAPRJ20446</t>
  </si>
  <si>
    <t>CO25 - Compressores de Ar da Filtragem</t>
  </si>
  <si>
    <t>AAPRJ19307</t>
  </si>
  <si>
    <t xml:space="preserve">FL26 - Secondary Grinding Media Reduction </t>
  </si>
  <si>
    <t>Vitor Hostt</t>
  </si>
  <si>
    <t>AAPRJ19207</t>
  </si>
  <si>
    <t>FL26 - Gerenciamento de Seg e Meio Ambiente</t>
  </si>
  <si>
    <t>Gilmara Miotto</t>
  </si>
  <si>
    <t>Indirects - Services</t>
  </si>
  <si>
    <t>AAPRJ20441</t>
  </si>
  <si>
    <t>CO25 - CAPEX GENERAL SIB 2024</t>
  </si>
  <si>
    <t>AAPRJ20434</t>
  </si>
  <si>
    <t>CO25 - CAPEX Vertmills</t>
  </si>
  <si>
    <t>AAPRJ20137</t>
  </si>
  <si>
    <t>Servico Especializado - John Jairo Madariaga Merino</t>
  </si>
  <si>
    <t>AAPRJ20786</t>
  </si>
  <si>
    <t>Negociações contratos e pedidos - Indirects</t>
  </si>
  <si>
    <t>Viviane Souza</t>
  </si>
  <si>
    <t>AAPRJ20450</t>
  </si>
  <si>
    <t>CO25 - Montagem e Civil p/ InstalaÃ§Ã£o da Britagem MÃ³vel</t>
  </si>
  <si>
    <t>AAPRJ19455</t>
  </si>
  <si>
    <t>FL26 - 4600038047 -  12716522 - BID Personnel Transport IOB</t>
  </si>
  <si>
    <t>AAPRJ20329</t>
  </si>
  <si>
    <t>Fornecimento de quadros e CCMs de mÃ©dia tensÃ£o e retrofit do quadro 0764â€‘QDâ€‘01.v2</t>
  </si>
  <si>
    <t>AAPRJ20433</t>
  </si>
  <si>
    <t>CO25 - CAPEX Recleaner Flotation: Electrical Equipment</t>
  </si>
  <si>
    <t>AAPRJ20479</t>
  </si>
  <si>
    <t>CO25 - CAPEX Recleaner Flotation: Carbon Steel Pipe.</t>
  </si>
  <si>
    <t>AAPRJ20310</t>
  </si>
  <si>
    <t>FL26 - Venda de Sucatas, Materiais e Ativos</t>
  </si>
  <si>
    <t>Farid Radieddine</t>
  </si>
  <si>
    <t>Materials Planning</t>
  </si>
  <si>
    <t>Raphael Bessa</t>
  </si>
  <si>
    <t>CASH</t>
  </si>
  <si>
    <t>AAPRJ19519</t>
  </si>
  <si>
    <t>FL26 - Inspecao tecnica - Applus</t>
  </si>
  <si>
    <t>Hendy Oliveira</t>
  </si>
  <si>
    <t>AAPRJ20453</t>
  </si>
  <si>
    <t>Redução de custos de combustíveis - Vibra Energia</t>
  </si>
  <si>
    <t>AAPRJ19234</t>
  </si>
  <si>
    <t>FL26 - GFA Parts and License discount - Hexagon - EBITDA</t>
  </si>
  <si>
    <t>AAPRJ20382</t>
  </si>
  <si>
    <t>Flow-Through</t>
  </si>
  <si>
    <t>FT - 3 TAC Unimar 4600028703 - Negociacao Reajuste 2025 (1,65%)</t>
  </si>
  <si>
    <t>AAPRJ19233</t>
  </si>
  <si>
    <t>FL26 - GFA Parts and License discount - Hexagon - Value Protection</t>
  </si>
  <si>
    <t>AAPRJ20891</t>
  </si>
  <si>
    <t>Diesel Basket Items Below Budget 2026</t>
  </si>
  <si>
    <t>AAPRJ19460</t>
  </si>
  <si>
    <t>FL26 - 4600038939/4600041496 - Full facilities IOB MG - 12806299-12792917-12803485-12504178</t>
  </si>
  <si>
    <t>AAPRJ20483</t>
  </si>
  <si>
    <t>CO25 - CAPEX - ConstruÃ§Ã£o Projeto de DisposiÃ§Ã£o de Rejeito Filtrado PDE Norte_Copy</t>
  </si>
  <si>
    <t>AAPRJ19232</t>
  </si>
  <si>
    <t>FL26 - GFA Parts and License discount - Flanders - EBITDA</t>
  </si>
  <si>
    <t>AAPRJ20314</t>
  </si>
  <si>
    <t>Fornecimento de 48 medidores de vazÃ£o eletromagnÃ©ticos do projeto FlotaÃ§Ã£o Recleaner</t>
  </si>
  <si>
    <t>AAPRJ19231</t>
  </si>
  <si>
    <t>FL26 - GFA Parts and License discount - Flanders - Value Protection</t>
  </si>
  <si>
    <t>AAPRJ20487</t>
  </si>
  <si>
    <t>CO25 - ServiÃ§os de Apoio TÃ©cnico a Obra Filtragem_Copy</t>
  </si>
  <si>
    <t>AAPRJ20448</t>
  </si>
  <si>
    <t>CO25 - Deep Tubular Wells Maintenance Negotiation</t>
  </si>
  <si>
    <t>AAPRJ20772</t>
  </si>
  <si>
    <t>CTG price reduction</t>
  </si>
  <si>
    <t>AAPRJ20800</t>
  </si>
  <si>
    <t>Saving por Isenção de Take or Pay - FLSmisth</t>
  </si>
  <si>
    <t>Mariana Garajau</t>
  </si>
  <si>
    <t>AAPRJ20442</t>
  </si>
  <si>
    <t>CO25 - Tailings Filtering Pumps</t>
  </si>
  <si>
    <t>AAPRJ19181</t>
  </si>
  <si>
    <t>FL26 - 3 TAC  Unimar 4600028703 - Negociacao Reajuste 2026 (1,80%)</t>
  </si>
  <si>
    <t>AAPRJ19246</t>
  </si>
  <si>
    <t>FL26 - Michelin 830E Tyres additional discount negotiation</t>
  </si>
  <si>
    <t>AAPRJ20117</t>
  </si>
  <si>
    <t>D&amp;D - 490 Descaracterização de miscelânias dos contratos Metso</t>
  </si>
  <si>
    <t>AAPRJ20443</t>
  </si>
  <si>
    <t>C025 - Programa Deslocamento Humano PNO</t>
  </si>
  <si>
    <t>AAPRJ20447</t>
  </si>
  <si>
    <t>CO25 - Drenagem do Canal PerifÃ©rico Cascalheira e Descidas A/B</t>
  </si>
  <si>
    <t>AAPRJ19325</t>
  </si>
  <si>
    <t>FL26 - Spot Negotiations</t>
  </si>
  <si>
    <t>AAPRJ20374</t>
  </si>
  <si>
    <t>FT - 4600038047 - 12716522 - BID Personnel Transport IOB </t>
  </si>
  <si>
    <t>AAPRJ20439</t>
  </si>
  <si>
    <t>CO25 - CAPEX - ConstruÃ§Ã£o de ArmazÃ©m de Projeto</t>
  </si>
  <si>
    <t>AAPRJ20701</t>
  </si>
  <si>
    <t>Correias transportadoras - CORREIAS MERCURIO SA INDUSTRIA</t>
  </si>
  <si>
    <t>Janaina Ferreira</t>
  </si>
  <si>
    <t>AAPRJ19301</t>
  </si>
  <si>
    <t>FL26 - Renegociacao Rejustes Mining</t>
  </si>
  <si>
    <t>Rafaela Galan</t>
  </si>
  <si>
    <t>AAPRJ20524</t>
  </si>
  <si>
    <t>FT26 - Refeições IOB - Aditivo Sodexo 8,56%</t>
  </si>
  <si>
    <t>Vanessa Resende</t>
  </si>
  <si>
    <t>AAPRJ19190</t>
  </si>
  <si>
    <t>FL26 - Contratacao Novo Restaurante Filtragem - 13,88% - 11 meses</t>
  </si>
  <si>
    <t>AAPRJ19235</t>
  </si>
  <si>
    <t>FL26 - GFA Parts and License discount - Modular - Value Protection</t>
  </si>
  <si>
    <t>AAPRJ20327</t>
  </si>
  <si>
    <t>AquisiÃ§Ã£o de talhas elÃ©tricas e manuais e pontes rolantes para o Projeto FlotaÃ§Ã£o Recleaner_Copy</t>
  </si>
  <si>
    <t>AAPRJ20452</t>
  </si>
  <si>
    <t>C025 - VÃ¡lvulas e Unidades HidrÃ¡ulicas Upgrade Espessador</t>
  </si>
  <si>
    <t>AAPRJ20376</t>
  </si>
  <si>
    <t>FT - 4600038939/4600041496 - Full facilities IOB MG - 12806299-12792917-12803485-12504178</t>
  </si>
  <si>
    <t>AAPRJ19252</t>
  </si>
  <si>
    <t>FL26 - Negociacoes menores Hendy</t>
  </si>
  <si>
    <t>AAPRJ20440</t>
  </si>
  <si>
    <t>CO25 - Operational Readness suport Filtragem</t>
  </si>
  <si>
    <t>AAPRJ20379</t>
  </si>
  <si>
    <t>FT - EMIVE Security Services</t>
  </si>
  <si>
    <t>AAPRJ19465</t>
  </si>
  <si>
    <t>FL26 - Estudos meio biotico - Agroflor</t>
  </si>
  <si>
    <t>AAPRJ20445</t>
  </si>
  <si>
    <t>CO25 - Upgrade Espessador de Concentrados (Fornecimento CMD)</t>
  </si>
  <si>
    <t>AAPRJ20451</t>
  </si>
  <si>
    <t>CO25 - Sistema de supressÃ£o de incÃªndio p/ nova frota 2025</t>
  </si>
  <si>
    <t>AAPRJ19526</t>
  </si>
  <si>
    <t>FL26 - Tratamento de agua - H3M</t>
  </si>
  <si>
    <t>AAPRJ20294</t>
  </si>
  <si>
    <t>Direct Materials Basket Items Below Budget 2026</t>
  </si>
  <si>
    <t>Arthur Jorge</t>
  </si>
  <si>
    <t>AAPRJ20522</t>
  </si>
  <si>
    <t>FT26 - Benefits Management Savings</t>
  </si>
  <si>
    <t>AAPRJ19464</t>
  </si>
  <si>
    <t>FL26 - Auditoria de seguranca e eng.barragens - TEC3</t>
  </si>
  <si>
    <t>AAPRJ20328</t>
  </si>
  <si>
    <t>Fornecimento de quadros e Centros de Controle de Motores (CCMs) de baixa tensÃ£o para a nova SubestaÃ§Ã£o da FlotaÃ§Ã£o Recleaner (0783â€‘SEâ€‘01)v2</t>
  </si>
  <si>
    <t>AAPRJ19328</t>
  </si>
  <si>
    <t>FL26 - Tail Spend PARTEC Negotiation</t>
  </si>
  <si>
    <t>AAPRJ20292</t>
  </si>
  <si>
    <t>Fornecimento refeições CMD - Aditivo Sodexo 3,13%</t>
  </si>
  <si>
    <t>AAPRJ19525</t>
  </si>
  <si>
    <t>FL26 - Monitoramento sismografico - Carste</t>
  </si>
  <si>
    <t>AAPRJ19462</t>
  </si>
  <si>
    <t>FL26 - Plantio e manutencao florestal - GHB</t>
  </si>
  <si>
    <t>AAPRJ20431</t>
  </si>
  <si>
    <t>CO25 - CAPEX Belt Conveyors for Tailings Filtration Plant</t>
  </si>
  <si>
    <t>AAPRJ19293</t>
  </si>
  <si>
    <t>FL26 - Primary Grinding Media Reduction – Share Adjustment</t>
  </si>
  <si>
    <t>AAPRJ20330</t>
  </si>
  <si>
    <t>ServiÃ§os de supervisÃ£o, comissionamento e treinamento para Engenharia de IntegraÃ§Ã£o_v2</t>
  </si>
  <si>
    <t>AAPRJ19236</t>
  </si>
  <si>
    <t>FL26 - GFA Parts and License discount - Modular - EBITDA</t>
  </si>
  <si>
    <t>AAPRJ20525</t>
  </si>
  <si>
    <t>FT26 - Convênio Academias</t>
  </si>
  <si>
    <t>AAPRJ20480</t>
  </si>
  <si>
    <t>CO25 - Turnkey do AMD da Filtragem_Copy</t>
  </si>
  <si>
    <t>AAPRJ20449</t>
  </si>
  <si>
    <t>CO25 - Montagem eletromecÃ¢nica Espessador CMD</t>
  </si>
  <si>
    <t>AAPRJ19461</t>
  </si>
  <si>
    <t>FL26 - Anti-Incrustante SJB</t>
  </si>
  <si>
    <t>AAPRJ19456</t>
  </si>
  <si>
    <t>FL26  - Plano De Saúde IOB - 4,71% - 11 Meses</t>
  </si>
  <si>
    <t>AAPRJ20373</t>
  </si>
  <si>
    <t>FT - 4600039552-12023698 - BID Surveillance Services - IOB </t>
  </si>
  <si>
    <t>FL26 - Saving baseline novo contrato refeicões SJB - Contrato 4600037821 - 12%</t>
  </si>
  <si>
    <t>AAPRJ20375</t>
  </si>
  <si>
    <t>FT - 4600039735 - 12760499 - BID Port Personnel Transport with Ferroport</t>
  </si>
  <si>
    <t>AAPRJ20526</t>
  </si>
  <si>
    <t>FT26 - Convênio Escolar Cmd </t>
  </si>
  <si>
    <t>AAPRJ19320</t>
  </si>
  <si>
    <t>FL26 - Servicos de QAQC PDER Norte</t>
  </si>
  <si>
    <t>AAPRJ19327</t>
  </si>
  <si>
    <t>FL26 - Tail Spend Negotiation (Nortel)</t>
  </si>
  <si>
    <t>Daniel Lima</t>
  </si>
  <si>
    <t>AAPRJ19513</t>
  </si>
  <si>
    <t>FL26 - Comunicacao CasaSanto - negociacao de reajuste</t>
  </si>
  <si>
    <t>Lucas Valim</t>
  </si>
  <si>
    <t>AAPRJ19297</t>
  </si>
  <si>
    <t>FL26 - Rebate Nortel - IOB</t>
  </si>
  <si>
    <t>AAPRJ20273</t>
  </si>
  <si>
    <t>Deflação e Fornecimento de peças sobressalentes - OEM - FLS</t>
  </si>
  <si>
    <t>AAPRJ19463</t>
  </si>
  <si>
    <t>FL26 - Servicos de engenharia - CEMEF</t>
  </si>
  <si>
    <t>AAPRJ19228</t>
  </si>
  <si>
    <t>FL26 - Gerenciamento e Fiscalizacao - GTP</t>
  </si>
  <si>
    <t>AAPRJ20377</t>
  </si>
  <si>
    <t>FT - 4600038940/4600041527 - Full Facilities IOB - Port - 12787888</t>
  </si>
  <si>
    <t>AAPRJ19607</t>
  </si>
  <si>
    <t>FL26 - Corretora de beneficios  - 4600041950 - Reducao Orcamento 41%</t>
  </si>
  <si>
    <t>AAPRJ19290</t>
  </si>
  <si>
    <t>FL26 - Parts discount from CAT GFA - CAT</t>
  </si>
  <si>
    <t>AAPRJ20521</t>
  </si>
  <si>
    <t>FT26 - Plano De Saúde IOB - Odontologico 3% </t>
  </si>
  <si>
    <t>AAPRJ19247</t>
  </si>
  <si>
    <t>FL26 - Michelin GFA market share discount - Michelin</t>
  </si>
  <si>
    <t>AAPRJ20318</t>
  </si>
  <si>
    <t>FL26 - Petronas - IOB_Lubricants Bidding Process - Payment Terms</t>
  </si>
  <si>
    <t>AAPRJ19459</t>
  </si>
  <si>
    <t>FL26 - Modulos termoacústicos OPUS</t>
  </si>
  <si>
    <t>AAPRJ20523</t>
  </si>
  <si>
    <t>FT26 - Saving baseline novo contrato refeicões SJB - Contrato 4600037821 - 12% </t>
  </si>
  <si>
    <t>AAPRJ19528</t>
  </si>
  <si>
    <t>FL26 - Plano De Saúde IOB - Odontologico 3% </t>
  </si>
  <si>
    <t>AAPRJ19515</t>
  </si>
  <si>
    <t>FL26 - 4600039552-12023698 - BID Surveillance Services - IOB</t>
  </si>
  <si>
    <t>AAPRJ19516</t>
  </si>
  <si>
    <t>FL26 - Analises estruturais - CEMEF</t>
  </si>
  <si>
    <t>AAPRJ20415</t>
  </si>
  <si>
    <t>Serviços de Avaliação Psicológica - Recrutamento e Seleção, e DHO</t>
  </si>
  <si>
    <t>Giovanna Ribeiro</t>
  </si>
  <si>
    <t>AAPRJ19518</t>
  </si>
  <si>
    <t>FL26 - Analises estruturais - KOT</t>
  </si>
  <si>
    <t>AAPRJ20416</t>
  </si>
  <si>
    <t>Contrato - IDEIA FIXA - Serviço de Clipping</t>
  </si>
  <si>
    <t>AAPRJ19191</t>
  </si>
  <si>
    <t>FL26 - Custo evitado - negociacoes de reajuste - Indirects Services</t>
  </si>
  <si>
    <t>Cristina Candéa</t>
  </si>
  <si>
    <t>AAPRJ20319</t>
  </si>
  <si>
    <t>FL26 - Vibra Energia - Fuel Bidding Process</t>
  </si>
  <si>
    <t>AAPRJ18842</t>
  </si>
  <si>
    <t>Acquisition of 7 trucks _ Wheel Motor and Main Alternator </t>
  </si>
  <si>
    <t>AAPRJ19184</t>
  </si>
  <si>
    <t>FL26 - Alternator - alternative supplier (Chinese)</t>
  </si>
  <si>
    <t>AAPRJ19197</t>
  </si>
  <si>
    <t>FL26 - Enginee Repair (REMAN) - DCML</t>
  </si>
  <si>
    <t>AAPRJ19249</t>
  </si>
  <si>
    <t>FL26 - Motorized Wheel - alternative supplier (Chinese)</t>
  </si>
  <si>
    <t>AAPRJ19305</t>
  </si>
  <si>
    <t>FL26 - SAS (Sound Attenuation) - Alternative Supplier Mammoth e Minetek</t>
  </si>
  <si>
    <t>AAPRJ19322</t>
  </si>
  <si>
    <t>FL26 - SIB Components 2026 - Komatsu</t>
  </si>
  <si>
    <t>AAPRJ14190</t>
  </si>
  <si>
    <t>CAPEX - ConstruÃ§Ã£o Projeto de DisposiÃ§Ã£o de Rejeito Filtrado PDE Norte</t>
  </si>
  <si>
    <t>AAPRJ15951</t>
  </si>
  <si>
    <t>ServiÃ§os de Apoio TÃ©cnico a Obra Filtragem</t>
  </si>
  <si>
    <t>AAPRJ16364</t>
  </si>
  <si>
    <t>FL23 - Deep Tubular Wells Maintenance Negotiation</t>
  </si>
  <si>
    <t>AAPRJ16375</t>
  </si>
  <si>
    <t>FL25 - Montagem eletromecÃ¢nica Espessador CMD</t>
  </si>
  <si>
    <t>AAPRJ15694</t>
  </si>
  <si>
    <t>Programa Deslocamento Humano PNO</t>
  </si>
  <si>
    <t>AAPRJ16351</t>
  </si>
  <si>
    <t>FL25 - Drenagem do Canal PerifÃ©rico Cascalheira e Descidas A/B</t>
  </si>
  <si>
    <t>AAPRJ19323</t>
  </si>
  <si>
    <t>FL26 - SIB Components 2026 - Komatsu - Payment Terms Extension</t>
  </si>
  <si>
    <t>AAPRJ20414</t>
  </si>
  <si>
    <t>Serviços especializados para gestão de contratos de estágio - NUBE</t>
  </si>
  <si>
    <t>AAPRJ19194</t>
  </si>
  <si>
    <t>FL26 - Disposal Plan and hypothetical breakdown studies</t>
  </si>
  <si>
    <t>Camila Acorsi</t>
  </si>
  <si>
    <t>AAPRJ19250</t>
  </si>
  <si>
    <t>FL26 - Negociacoes menores Camila</t>
  </si>
  <si>
    <t>AAPRJ20124</t>
  </si>
  <si>
    <t>1º Reajuste Contratual - TECHBRAX</t>
  </si>
  <si>
    <t>AAPRJ19206</t>
  </si>
  <si>
    <t>FL26 - Light Vehicles IOB  - 13583859</t>
  </si>
  <si>
    <t>AAPRJ19192</t>
  </si>
  <si>
    <t>FL26 - Data Analytics Services – DTI</t>
  </si>
  <si>
    <t>Carlos Cirilo</t>
  </si>
  <si>
    <t>AAPRJ19294</t>
  </si>
  <si>
    <t>FL26 - RADIO/ACCESSORY REPLACEMENT</t>
  </si>
  <si>
    <t>AAPRJ20702</t>
  </si>
  <si>
    <t>Tires Basket Items Below Budget 2026</t>
  </si>
  <si>
    <t>AAPRJ19527</t>
  </si>
  <si>
    <t>FL26 - Anti-Incrustante CMD</t>
  </si>
  <si>
    <t>AAPRJ19324</t>
  </si>
  <si>
    <t>FL26 - Sotreq - Spare Parts Negotiation_New Contracts</t>
  </si>
  <si>
    <t>AAPRJ19243</t>
  </si>
  <si>
    <t>FL26 - Manutencao de pocos</t>
  </si>
  <si>
    <t>AAPRJ19248</t>
  </si>
  <si>
    <t>FL26 - Monitotamento de recursos hidricos</t>
  </si>
  <si>
    <t>AAPRJ19251</t>
  </si>
  <si>
    <t>FL26 - Negociacoes menores Gilmara</t>
  </si>
  <si>
    <t>AAPRJ19304</t>
  </si>
  <si>
    <t>FL26 - Revegetacao Recuperacao Areas Degradadas</t>
  </si>
  <si>
    <t>AAPRJ19316</t>
  </si>
  <si>
    <t>FL26 - Servicos de apoio à Gestao de contratadas</t>
  </si>
  <si>
    <t>AAPRJ19317</t>
  </si>
  <si>
    <t>FL26 - Servicos de Fauna e Flora</t>
  </si>
  <si>
    <t>AAPRJ19318</t>
  </si>
  <si>
    <t>FL26 - Servicos de manutencao da barragem rejeitos</t>
  </si>
  <si>
    <t>AAPRJ19319</t>
  </si>
  <si>
    <t>FL26 - Servicos de Patrominio Cultural</t>
  </si>
  <si>
    <t>AAPRJ19321</t>
  </si>
  <si>
    <t>FL26 - Servicos de Transporte de madeira</t>
  </si>
  <si>
    <t>AAPRJ19326</t>
  </si>
  <si>
    <t>FL26 - Suporte Tecnico Gerencia Geologia</t>
  </si>
  <si>
    <t>AAPRJ19458</t>
  </si>
  <si>
    <t>FL26 - Inspecao e monitoramento - Contecnica</t>
  </si>
  <si>
    <t>AAPRJ20289</t>
  </si>
  <si>
    <t>Novo BID MMSocial</t>
  </si>
  <si>
    <t>AAPRJ20417</t>
  </si>
  <si>
    <t>viços de Mentoria Operacional - projetos Lean Six Sigma</t>
  </si>
  <si>
    <t>AAPRJ20699</t>
  </si>
  <si>
    <t>CT 4600048879 - LEX DESIGN_Redesenho de Processos</t>
  </si>
  <si>
    <t>AAPRJ20700</t>
  </si>
  <si>
    <t>2° Reajuste - CT 4600035772_SENAI</t>
  </si>
  <si>
    <t>AAPRJ19193</t>
  </si>
  <si>
    <t>FL26 - Discount provided by Cummins on new engines - Cummins</t>
  </si>
  <si>
    <t>AAPRJ20291</t>
  </si>
  <si>
    <t xml:space="preserve">RAC ASTEC </t>
  </si>
  <si>
    <t>AAPRJ19198</t>
  </si>
  <si>
    <t>FL26 - Equipment acquistion through GFAs or direct negotiation with major OEMs - Various</t>
  </si>
  <si>
    <t>AAPRJ19237</t>
  </si>
  <si>
    <t>FL26 - GFA Parts discount - Epiroc - Value Protection</t>
  </si>
  <si>
    <t>AAPRJ19183</t>
  </si>
  <si>
    <t>FL26 - ADAS (Argus / Hexagon) - EMS MIna</t>
  </si>
  <si>
    <t>AAPRJ19239</t>
  </si>
  <si>
    <t>FL26 - GFA Parts Discount - Sandvik - Value Protection</t>
  </si>
  <si>
    <t>AAPRJ19624</t>
  </si>
  <si>
    <t>FL26 - Iniciativas SIB - Gerencia Mayron</t>
  </si>
  <si>
    <t>AAPRJ20095</t>
  </si>
  <si>
    <t>FL26 - Iniciativas SIB CAPEX - Gerencia Mayron</t>
  </si>
  <si>
    <t>AAPRJ19617</t>
  </si>
  <si>
    <t>FL26 - Equipment acquistion through GFAs or direct negotiation with majro OEMs - Sandvik</t>
  </si>
  <si>
    <t>AAPRJ19627</t>
  </si>
  <si>
    <t>FL26 - Equipment acquistion through GFAs or direct negotiation with majro OEMs - Flanders</t>
  </si>
  <si>
    <t>AAPRJ19628</t>
  </si>
  <si>
    <t>FL26 - Equipment acquistion through GFAs or direct negotiation with majro OEMs - Hexagon</t>
  </si>
  <si>
    <t>AAPRJ19629</t>
  </si>
  <si>
    <t>FL26 - Equipment acquistion through GFAs or direct negotiation with majro OEMs - Modular</t>
  </si>
  <si>
    <t>AAPRJ20096</t>
  </si>
  <si>
    <t>FL26 - Equipment acquistion through GFAs or direct negotiation with majro OEMs - Flanders - Value Protection</t>
  </si>
  <si>
    <t>AAPRJ20097</t>
  </si>
  <si>
    <t>FL26 - Equipment acquistion through GFAs or direct negotiation with majro OEMs - Modular - Value Protection</t>
  </si>
  <si>
    <t>AAPRJ20098</t>
  </si>
  <si>
    <t>FL26 - Equipment acquistion through GFAs or direct negotiation with majro OEMs - Hexagon - Value Protection</t>
  </si>
  <si>
    <t>AAPRJ20272</t>
  </si>
  <si>
    <t xml:space="preserve"> AAPRJ20272 - D&amp;D - Teste básculas reman Esco</t>
  </si>
  <si>
    <t>Guilherme Toledo</t>
  </si>
  <si>
    <t>AAPRJ19309</t>
  </si>
  <si>
    <t>FL26 - Serv.  Mont. e Desmont. de Andaimes_RIP</t>
  </si>
  <si>
    <t>AAPRJ19238</t>
  </si>
  <si>
    <t>FL26 - GFA Parts discount - Epiroc - EBTIDA</t>
  </si>
  <si>
    <t>AAPRJ19312</t>
  </si>
  <si>
    <t>FL26 - Serv. Planej. Atividades de Manutencao</t>
  </si>
  <si>
    <t>AAPRJ19314</t>
  </si>
  <si>
    <t>FL26 - SERVIcO DE PINTURA INDUSTRIAL SJB</t>
  </si>
  <si>
    <t>AAPRJ19240</t>
  </si>
  <si>
    <t>FL26 - GFA Parts Discount - Sandvik - EBITDA</t>
  </si>
  <si>
    <t>AAPRJ19303</t>
  </si>
  <si>
    <t>FL26 - Replacemente of Cummins engine by MTU engine - MTU</t>
  </si>
  <si>
    <t>AAPRJ20381</t>
  </si>
  <si>
    <t>Redução de Custos via Alternativas Spot em Itens Contratados - Rolos e roletes </t>
  </si>
  <si>
    <t>Janaína Ferreira</t>
  </si>
  <si>
    <t>AAPRJ19310</t>
  </si>
  <si>
    <t>FL26 - SERV. DE MANUT. PREDIAL E PEQUENAS OBRAS</t>
  </si>
  <si>
    <t>AAPRJ19520</t>
  </si>
  <si>
    <t>FL26 - Analises estruturais - LPC</t>
  </si>
  <si>
    <t>AAPRJ19230</t>
  </si>
  <si>
    <t>FL26 - Gestao PMO</t>
  </si>
  <si>
    <t>AAPRJ19253</t>
  </si>
  <si>
    <t>FL26 - Negociacoes menores Lucas</t>
  </si>
  <si>
    <t>AAPRJ19308</t>
  </si>
  <si>
    <t>FL26 - SERV DE ARMAZENAGEM EXTERNA</t>
  </si>
  <si>
    <t>AAPRJ19643</t>
  </si>
  <si>
    <t>FL26 - Calibracao estacões roboticas - Hexagon</t>
  </si>
  <si>
    <t>AAPRJ20288</t>
  </si>
  <si>
    <t>Ensaio não destrutivo Mistras</t>
  </si>
  <si>
    <t>AAPRJ20290</t>
  </si>
  <si>
    <t>RAC KIDDE</t>
  </si>
  <si>
    <t>AAPRJ19185</t>
  </si>
  <si>
    <t>FL26 - Amendment FLS_Spare Parts and Take or Pay negotiation</t>
  </si>
  <si>
    <t>AAPRJ19256</t>
  </si>
  <si>
    <t>FL26 - New BID for new Test Development of  HPGR - D&amp;D</t>
  </si>
  <si>
    <t>AAPRJ19299</t>
  </si>
  <si>
    <t>FL26 - Reducao de Custos Mining Services</t>
  </si>
  <si>
    <t>AAPRJ19287</t>
  </si>
  <si>
    <t>FL26 - New BID Weir  Spare Parts</t>
  </si>
  <si>
    <t>AAPRJ19125</t>
  </si>
  <si>
    <t>FL26_IOB_Air Savings_Travel</t>
  </si>
  <si>
    <t>liana goddard</t>
  </si>
  <si>
    <t>AAPRJ19254</t>
  </si>
  <si>
    <t>FL26 - Negociacoes menores Nazare</t>
  </si>
  <si>
    <t>Nazaré Silva</t>
  </si>
  <si>
    <t>AAPRJ19311</t>
  </si>
  <si>
    <t>FL26 - SERV. ELABORAcaO DE DESENHO</t>
  </si>
  <si>
    <t>AAPRJ19315</t>
  </si>
  <si>
    <t>FL26 - Servicos de analise estrutural</t>
  </si>
  <si>
    <t>AAPRJ19300</t>
  </si>
  <si>
    <t>FL26 - Reducao de Custos Reforma Externa</t>
  </si>
  <si>
    <t>AAPRJ19517</t>
  </si>
  <si>
    <t>FL26 - 3 TAC Unimar 4600028703 - Negociacao Reajuste 2025 (1,65%)</t>
  </si>
  <si>
    <t>AAPRJ19152</t>
  </si>
  <si>
    <t>FL26_IOB_Hotel_Travel_EBITDA</t>
  </si>
  <si>
    <t>AAPRJ17106</t>
  </si>
  <si>
    <t>FL26 - Alternative Parts of Valves Seat set - D&amp;D</t>
  </si>
  <si>
    <t>AAPRJ20380</t>
  </si>
  <si>
    <t>FT - 1º Aditivo Emive - 4600034211</t>
  </si>
  <si>
    <t>AAPRJ19229</t>
  </si>
  <si>
    <t>FL26 - Gestao e Manut. Ferramentas/Torque_GMU</t>
  </si>
  <si>
    <t>Thiago Gonçalves</t>
  </si>
  <si>
    <t>AAPRJ19242</t>
  </si>
  <si>
    <t>FL26 - Manutencao de geradores Filtragem rejeitos</t>
  </si>
  <si>
    <t>AAPRJ20099</t>
  </si>
  <si>
    <t>FL26 - FL-25 - 4600038940/4600041527  - Full Facilities  IOB - Port - 12787888</t>
  </si>
  <si>
    <t>AAPRJ19245</t>
  </si>
  <si>
    <t>FL26 - Manutencao Retrofit</t>
  </si>
  <si>
    <t>AAPRJ19255</t>
  </si>
  <si>
    <t>FL26 - Negociacoes menores Thiago</t>
  </si>
  <si>
    <t>AAPRJ19313</t>
  </si>
  <si>
    <t>FL26 - Servico de Inspecao Mecanica - Tubulacao</t>
  </si>
  <si>
    <t>AAPRJ19466</t>
  </si>
  <si>
    <t>FL26 - Aditivo Ultra engenharia</t>
  </si>
  <si>
    <t>AAPRJ19298</t>
  </si>
  <si>
    <t>FL26 - Reducao de Custos Contratos Oficina</t>
  </si>
  <si>
    <t>Valquiria Alves</t>
  </si>
  <si>
    <t>AAPRJ19302</t>
  </si>
  <si>
    <t>FL26 - Renegociacao Rejustes Oficina</t>
  </si>
  <si>
    <t>AAPRJ19288</t>
  </si>
  <si>
    <t>FL26 - Novo Bid Alimentacao IOB - 5% negociacao (MPAT - com equipamentos)</t>
  </si>
  <si>
    <t>AAPRJ19244</t>
  </si>
  <si>
    <t>FL26 - Manutencao Eletromecanica</t>
  </si>
  <si>
    <t>AAPRJ19610</t>
  </si>
  <si>
    <t>FL26 - Novo Bid Alimentacao IOB - premissa reducao 4,06% (sem equipamentos) - de Sodexo para Sapore</t>
  </si>
  <si>
    <t>AAPRJ20520</t>
  </si>
  <si>
    <t>FT26 - Plano De Saúde IOB - 4,71% - 11 Meses</t>
  </si>
  <si>
    <t>AAPRJ20293</t>
  </si>
  <si>
    <t>Contratação de mão de obra especializada na área de Suprimentos 4600039487</t>
  </si>
  <si>
    <t>AAPRJ19188</t>
  </si>
  <si>
    <t xml:space="preserve">FL26 - Ceramic Plate Testing – CEC Mining </t>
  </si>
  <si>
    <t>AAPRJ19189</t>
  </si>
  <si>
    <t>FL26 - Ceramic Plate Testing – Metso – Acquisition at No Cost</t>
  </si>
  <si>
    <t>AAPRJ19292</t>
  </si>
  <si>
    <t>FL26 - Primary Grinding Media Reduction – Break Bulk Transportation</t>
  </si>
  <si>
    <t>AAPRJ20115</t>
  </si>
  <si>
    <t>Ceramic Plate Testing - REFRACTRON TECHNOLOGIES CORP</t>
  </si>
  <si>
    <t>AAPRJ20275</t>
  </si>
  <si>
    <t>BID - Materiais e Serviços HPGR</t>
  </si>
  <si>
    <t>AAPRJ20276</t>
  </si>
  <si>
    <t>4600047463 - Novo contrato Weir (Price List) </t>
  </si>
  <si>
    <t>Rótulos de Linha</t>
  </si>
  <si>
    <t>Soma de Total Delivered 2026 (USD)</t>
  </si>
  <si>
    <t>USDm</t>
  </si>
  <si>
    <r>
      <t>Jan - Fev</t>
    </r>
    <r>
      <rPr>
        <sz val="11"/>
        <color rgb="FF000000"/>
        <rFont val="Aptos Narrow"/>
        <family val="2"/>
      </rPr>
      <t xml:space="preserve"> Target</t>
    </r>
  </si>
  <si>
    <t>Delivered</t>
  </si>
  <si>
    <t>Total Geral</t>
  </si>
  <si>
    <t>Rótulos de Coluna</t>
  </si>
  <si>
    <t>Total</t>
  </si>
  <si>
    <t>Total Geral (USD)</t>
  </si>
  <si>
    <t>(Vários itens)</t>
  </si>
  <si>
    <t>(Tudo)</t>
  </si>
  <si>
    <t>Soma de Expected Savings USD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</si>
</sst>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$-409]* #,##0_ ;_-[$$-409]* \-#,##0\ ;_-[$$-409]* &quot;-&quot;??_ ;_-@_ "/>
    <numFmt numFmtId="165" formatCode="_-[$R$-416]\ * #,##0.00_-;\-[$R$-416]\ * #,##0.00_-;_-[$R$-416]\ * &quot;-&quot;??_-;_-@_-"/>
    <numFmt numFmtId="166" formatCode="_-[$$-409]* #,##0.00_ ;_-[$$-409]* \-#,##0.00\ ;_-[$$-409]* &quot;-&quot;??_ ;_-@_ "/>
    <numFmt numFmtId="167" formatCode="_-* #,##0_-;\-* #,##0_-;_-* &quot;-&quot;??_-;_-@_-"/>
    <numFmt numFmtId="168" formatCode="[$-416]mmmm\-yy;@"/>
    <numFmt numFmtId="169" formatCode="_(* #,##0.00_);_(* \(#,##0.00\);_(* &quot;-&quot;??_);_(@_)"/>
    <numFmt numFmtId="170" formatCode="_(* #,##0.0_);_(* \(#,##0.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9"/>
      <name val="AA Smart Sans"/>
    </font>
    <font>
      <sz val="9"/>
      <name val="AA Smart Sans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4" fillId="3" borderId="0" xfId="2" applyNumberFormat="1" applyFont="1" applyFill="1" applyBorder="1" applyAlignment="1">
      <alignment horizontal="center" vertical="center"/>
    </xf>
    <xf numFmtId="165" fontId="4" fillId="3" borderId="0" xfId="2" applyNumberFormat="1" applyFont="1" applyFill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/>
    </xf>
    <xf numFmtId="167" fontId="3" fillId="2" borderId="3" xfId="1" applyNumberFormat="1" applyFont="1" applyFill="1" applyBorder="1" applyAlignment="1">
      <alignment vertical="center"/>
    </xf>
    <xf numFmtId="167" fontId="3" fillId="2" borderId="3" xfId="1" applyNumberFormat="1" applyFont="1" applyFill="1" applyBorder="1" applyAlignment="1">
      <alignment horizontal="center" vertical="center"/>
    </xf>
    <xf numFmtId="43" fontId="3" fillId="2" borderId="3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166" fontId="4" fillId="3" borderId="6" xfId="2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7" fontId="3" fillId="2" borderId="5" xfId="1" applyNumberFormat="1" applyFont="1" applyFill="1" applyBorder="1" applyAlignment="1">
      <alignment horizontal="left" vertical="center"/>
    </xf>
    <xf numFmtId="0" fontId="0" fillId="6" borderId="7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66" fontId="0" fillId="7" borderId="8" xfId="3" applyNumberFormat="1" applyFont="1" applyFill="1" applyBorder="1" applyAlignment="1">
      <alignment horizontal="left" vertical="center"/>
    </xf>
    <xf numFmtId="165" fontId="0" fillId="7" borderId="8" xfId="3" applyNumberFormat="1" applyFont="1" applyFill="1" applyBorder="1" applyAlignment="1">
      <alignment horizontal="left" vertical="center"/>
    </xf>
    <xf numFmtId="166" fontId="0" fillId="8" borderId="7" xfId="1" applyNumberFormat="1" applyFont="1" applyFill="1" applyBorder="1" applyAlignment="1">
      <alignment horizontal="left" vertical="center" wrapText="1"/>
    </xf>
    <xf numFmtId="165" fontId="0" fillId="8" borderId="7" xfId="1" applyNumberFormat="1" applyFont="1" applyFill="1" applyBorder="1" applyAlignment="1">
      <alignment horizontal="left" vertical="center" wrapText="1"/>
    </xf>
    <xf numFmtId="43" fontId="0" fillId="0" borderId="8" xfId="1" applyFont="1" applyBorder="1" applyAlignment="1">
      <alignment horizontal="left" vertical="center"/>
    </xf>
    <xf numFmtId="0" fontId="0" fillId="6" borderId="7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3" fontId="0" fillId="0" borderId="8" xfId="1" applyNumberFormat="1" applyFont="1" applyBorder="1" applyAlignment="1">
      <alignment horizontal="center" vertical="center"/>
    </xf>
    <xf numFmtId="166" fontId="0" fillId="7" borderId="8" xfId="3" applyNumberFormat="1" applyFont="1" applyFill="1" applyBorder="1" applyAlignment="1">
      <alignment horizontal="center" vertical="center"/>
    </xf>
    <xf numFmtId="165" fontId="0" fillId="7" borderId="8" xfId="3" applyNumberFormat="1" applyFont="1" applyFill="1" applyBorder="1" applyAlignment="1">
      <alignment horizontal="center" vertical="center"/>
    </xf>
    <xf numFmtId="166" fontId="0" fillId="8" borderId="7" xfId="1" applyNumberFormat="1" applyFont="1" applyFill="1" applyBorder="1" applyAlignment="1">
      <alignment horizontal="left" vertical="center"/>
    </xf>
    <xf numFmtId="165" fontId="0" fillId="8" borderId="7" xfId="1" applyNumberFormat="1" applyFont="1" applyFill="1" applyBorder="1" applyAlignment="1">
      <alignment horizontal="left" vertical="center"/>
    </xf>
    <xf numFmtId="166" fontId="0" fillId="0" borderId="0" xfId="0" applyNumberFormat="1"/>
    <xf numFmtId="165" fontId="0" fillId="0" borderId="0" xfId="0" applyNumberFormat="1"/>
    <xf numFmtId="43" fontId="0" fillId="0" borderId="0" xfId="0" applyNumberFormat="1"/>
    <xf numFmtId="0" fontId="6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2" fontId="6" fillId="0" borderId="11" xfId="0" applyNumberFormat="1" applyFont="1" applyBorder="1" applyAlignment="1">
      <alignment horizontal="center" vertical="center"/>
    </xf>
    <xf numFmtId="2" fontId="8" fillId="9" borderId="12" xfId="0" applyNumberFormat="1" applyFont="1" applyFill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2" fontId="8" fillId="10" borderId="12" xfId="0" applyNumberFormat="1" applyFont="1" applyFill="1" applyBorder="1" applyAlignment="1">
      <alignment horizontal="center" vertical="center"/>
    </xf>
    <xf numFmtId="0" fontId="7" fillId="11" borderId="11" xfId="0" applyFont="1" applyFill="1" applyBorder="1" applyAlignment="1">
      <alignment vertical="center"/>
    </xf>
    <xf numFmtId="2" fontId="7" fillId="11" borderId="12" xfId="0" applyNumberFormat="1" applyFont="1" applyFill="1" applyBorder="1" applyAlignment="1">
      <alignment horizontal="center" vertical="center"/>
    </xf>
    <xf numFmtId="0" fontId="6" fillId="0" borderId="0" xfId="0" applyFont="1"/>
    <xf numFmtId="166" fontId="0" fillId="0" borderId="0" xfId="1" applyNumberFormat="1" applyFont="1"/>
    <xf numFmtId="0" fontId="9" fillId="0" borderId="0" xfId="0" applyFont="1" applyAlignment="1">
      <alignment horizontal="center"/>
    </xf>
    <xf numFmtId="170" fontId="10" fillId="0" borderId="0" xfId="4" applyNumberFormat="1" applyFont="1"/>
    <xf numFmtId="0" fontId="10" fillId="0" borderId="0" xfId="0" applyFont="1"/>
    <xf numFmtId="0" fontId="9" fillId="0" borderId="0" xfId="0" applyFont="1"/>
  </cellXfs>
  <cellStyles count="5">
    <cellStyle name="Comma 2" xfId="4" xr:uid="{221950A6-8F81-4B80-8731-FFEE32DADA3F}"/>
    <cellStyle name="Moeda" xfId="2" builtinId="4"/>
    <cellStyle name="Normal" xfId="0" builtinId="0"/>
    <cellStyle name="Porcentagem" xfId="3" builtinId="5"/>
    <cellStyle name="Vírgula" xfId="1" builtinId="3"/>
  </cellStyles>
  <dxfs count="18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ngloamerican.sharepoint.com/sites/ValueDeliveryBrasil/Shared%20Documents/General/Benefits%20Reporting/Benefits%20Reporting_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lva, Arthur Jorge" refreshedDate="46254.615249421295" createdVersion="8" refreshedVersion="8" minRefreshableVersion="3" recordCount="246" xr:uid="{38E5EBFA-83CD-4915-95A7-1B1CBAE81115}">
  <cacheSource type="worksheet">
    <worksheetSource ref="A2:AK245" sheet="Base" r:id="rId2"/>
  </cacheSource>
  <cacheFields count="37">
    <cacheField name="Zycus Code" numFmtId="0">
      <sharedItems containsBlank="1" count="236">
        <s v="AAPRJ19291"/>
        <s v="AAPRJ20901"/>
        <s v="AAPRJ20317"/>
        <s v="AAPRJ18841"/>
        <s v="AAPRJ19296"/>
        <s v="AAPRJ20484"/>
        <s v="AAPRJ20436"/>
        <s v="AAPRJ20552"/>
        <s v="AAPRJ20438"/>
        <s v="AAPRJ20242"/>
        <s v="AAPRJ20435"/>
        <s v="AAPRJ20316"/>
        <s v="AAPRJ20244"/>
        <s v="AAPRJ20478"/>
        <s v="AAPRJ20315"/>
        <s v="AAPRJ20486"/>
        <s v="AAPRJ20465"/>
        <s v="AAPRJ19523"/>
        <s v="AAPRJ19295"/>
        <s v="AAPRJ20320"/>
        <s v="AAPRJ20243"/>
        <s v="AAPRJ20087"/>
        <s v="AAPRJ20446"/>
        <s v="AAPRJ19307"/>
        <s v="AAPRJ19207"/>
        <s v="AAPRJ20441"/>
        <s v="AAPRJ20434"/>
        <s v="AAPRJ20137"/>
        <s v="AAPRJ20786"/>
        <s v="AAPRJ20450"/>
        <s v="AAPRJ19455"/>
        <s v="AAPRJ20329"/>
        <s v="AAPRJ20433"/>
        <s v="AAPRJ20479"/>
        <s v="AAPRJ20310"/>
        <s v="AAPRJ19519"/>
        <s v="AAPRJ20453"/>
        <s v="AAPRJ19234"/>
        <s v="AAPRJ20382"/>
        <s v="AAPRJ19233"/>
        <s v="AAPRJ20891"/>
        <s v="AAPRJ19460"/>
        <s v="AAPRJ20483"/>
        <s v="AAPRJ19232"/>
        <s v="AAPRJ20314"/>
        <s v="AAPRJ19231"/>
        <s v="AAPRJ20487"/>
        <s v="AAPRJ20448"/>
        <s v="AAPRJ20772"/>
        <s v="AAPRJ20800"/>
        <s v="AAPRJ20442"/>
        <s v="AAPRJ19181"/>
        <s v="AAPRJ19246"/>
        <s v="AAPRJ20117"/>
        <s v="AAPRJ20443"/>
        <s v="AAPRJ20447"/>
        <s v="AAPRJ19325"/>
        <s v="AAPRJ20374"/>
        <s v="AAPRJ20439"/>
        <s v="AAPRJ20701"/>
        <s v="AAPRJ19301"/>
        <s v="AAPRJ20524"/>
        <s v="AAPRJ19190"/>
        <s v="AAPRJ19235"/>
        <s v="AAPRJ20327"/>
        <s v="AAPRJ20452"/>
        <s v="AAPRJ20376"/>
        <s v="AAPRJ19252"/>
        <s v="AAPRJ20440"/>
        <s v="AAPRJ20379"/>
        <s v="AAPRJ19465"/>
        <s v="AAPRJ20445"/>
        <s v="AAPRJ20451"/>
        <s v="AAPRJ19526"/>
        <s v="AAPRJ20294"/>
        <s v="AAPRJ20522"/>
        <s v="AAPRJ19464"/>
        <s v="AAPRJ20328"/>
        <s v="AAPRJ19328"/>
        <s v="AAPRJ20292"/>
        <s v="AAPRJ19525"/>
        <s v="AAPRJ19462"/>
        <s v="AAPRJ20431"/>
        <s v="AAPRJ19293"/>
        <s v="AAPRJ20330"/>
        <s v="AAPRJ19236"/>
        <s v="AAPRJ20525"/>
        <s v="AAPRJ20480"/>
        <s v="AAPRJ20449"/>
        <s v="AAPRJ19461"/>
        <s v="AAPRJ19456"/>
        <s v="AAPRJ19515"/>
        <s v="AAPRJ20373"/>
        <s v="AAPRJ20094"/>
        <s v="AAPRJ20375"/>
        <s v="AAPRJ20526"/>
        <s v="AAPRJ19320"/>
        <s v="AAPRJ19327"/>
        <s v="AAPRJ19513"/>
        <s v="AAPRJ19297"/>
        <s v="AAPRJ20273"/>
        <s v="AAPRJ19463"/>
        <s v="AAPRJ19228"/>
        <s v="AAPRJ20377"/>
        <s v="AAPRJ19607"/>
        <s v="AAPRJ19290"/>
        <s v="AAPRJ20521"/>
        <s v="AAPRJ19247"/>
        <s v="AAPRJ20318"/>
        <s v="AAPRJ19459"/>
        <s v="AAPRJ20523"/>
        <s v="AAPRJ19528"/>
        <s v="AAPRJ19516"/>
        <s v="AAPRJ19630"/>
        <s v="AAPRJ20415"/>
        <s v="AAPRJ19518"/>
        <s v="AAPRJ20416"/>
        <s v="AAPRJ19191"/>
        <s v="AAPRJ20319"/>
        <s v="AAPRJ18842"/>
        <s v="AAPRJ19184"/>
        <s v="AAPRJ19197"/>
        <s v="AAPRJ19249"/>
        <s v="AAPRJ19305"/>
        <s v="AAPRJ19322"/>
        <s v="AAPRJ14190"/>
        <s v="AAPRJ15951"/>
        <s v="AAPRJ16364"/>
        <s v="AAPRJ16375"/>
        <s v="AAPRJ15694"/>
        <s v="AAPRJ16351"/>
        <s v="AAPRJ19323"/>
        <s v="AAPRJ20414"/>
        <s v="AAPRJ19194"/>
        <s v="AAPRJ19250"/>
        <s v="AAPRJ20124"/>
        <s v="AAPRJ19206"/>
        <s v="AAPRJ19192"/>
        <s v="AAPRJ19294"/>
        <s v="AAPRJ20702"/>
        <s v="AAPRJ19527"/>
        <s v="AAPRJ19324"/>
        <s v="AAPRJ19243"/>
        <s v="AAPRJ19248"/>
        <s v="AAPRJ19251"/>
        <s v="AAPRJ19304"/>
        <s v="AAPRJ19316"/>
        <s v="AAPRJ19317"/>
        <s v="AAPRJ19318"/>
        <s v="AAPRJ19319"/>
        <s v="AAPRJ19321"/>
        <s v="AAPRJ19326"/>
        <s v="AAPRJ19458"/>
        <s v="AAPRJ20289"/>
        <s v="AAPRJ20417"/>
        <s v="AAPRJ20699"/>
        <s v="AAPRJ20700"/>
        <s v="AAPRJ19193"/>
        <s v="AAPRJ20291"/>
        <s v="AAPRJ19198"/>
        <s v="AAPRJ19237"/>
        <s v="AAPRJ19183"/>
        <s v="AAPRJ19239"/>
        <s v="AAPRJ19624"/>
        <s v="AAPRJ20095"/>
        <s v="AAPRJ19617"/>
        <s v="AAPRJ19627"/>
        <s v="AAPRJ19628"/>
        <s v="AAPRJ19629"/>
        <s v="AAPRJ20096"/>
        <s v="AAPRJ20097"/>
        <s v="AAPRJ20098"/>
        <s v="AAPRJ20272"/>
        <s v="AAPRJ19309"/>
        <s v="AAPRJ19238"/>
        <s v="AAPRJ19312"/>
        <s v="AAPRJ19314"/>
        <s v="AAPRJ19240"/>
        <s v="AAPRJ19303"/>
        <s v="AAPRJ20381"/>
        <s v="AAPRJ19310"/>
        <s v="AAPRJ19520"/>
        <s v="AAPRJ19230"/>
        <s v="AAPRJ19253"/>
        <s v="AAPRJ19308"/>
        <s v="AAPRJ19643"/>
        <s v="AAPRJ20288"/>
        <s v="AAPRJ20290"/>
        <s v="AAPRJ19185"/>
        <s v="AAPRJ19256"/>
        <s v="AAPRJ19299"/>
        <s v="AAPRJ19287"/>
        <s v="AAPRJ19125"/>
        <s v="AAPRJ19254"/>
        <s v="AAPRJ19311"/>
        <s v="AAPRJ19315"/>
        <s v="AAPRJ19300"/>
        <s v="AAPRJ19180"/>
        <s v="AAPRJ19517"/>
        <s v="AAPRJ19152"/>
        <s v="AAPRJ17106"/>
        <m/>
        <s v="AAPRJ20380"/>
        <s v="AAPRJ19229"/>
        <s v="AAPRJ19242"/>
        <s v="AAPRJ20099"/>
        <s v="AAPRJ19245"/>
        <s v="AAPRJ19255"/>
        <s v="AAPRJ19313"/>
        <s v="AAPRJ19466"/>
        <s v="AAPRJ19298"/>
        <s v="AAPRJ19302"/>
        <s v="AAPRJ19288"/>
        <s v="AAPRJ19244"/>
        <s v="AAPRJ19610"/>
        <s v="AAPRJ20520"/>
        <s v="AAPRJ20293"/>
        <s v="AAPRJ19188"/>
        <s v="AAPRJ19189"/>
        <s v="AAPRJ19292"/>
        <s v="AAPRJ20115"/>
        <s v="AAPRJ20275"/>
        <s v="AAPRJ20276"/>
        <s v="AAPRJ19306" u="1"/>
        <s v="AAPRJ19656" u="1"/>
        <s v="AAPRJ20527" u="1"/>
        <s v="AAPRJ19524" u="1"/>
        <s v="AAPRJ19631" u="1"/>
        <s v="AAPRJ20242 " u="1"/>
        <s v="AAPRJ19195" u="1"/>
        <s v="AAPRJ19196" u="1"/>
        <s v="AAPRJ20111" u="1"/>
        <s v="AAPRJ20112" u="1"/>
        <s v="AAPRJ20113" u="1"/>
        <s v="AAPRJ20114" u="1"/>
        <s v="AAPRJ18838" u="1"/>
      </sharedItems>
    </cacheField>
    <cacheField name="Status" numFmtId="0">
      <sharedItems containsBlank="1" count="16">
        <s v="Nova iniciativa"/>
        <s v="Carry Over"/>
        <s v="Capex"/>
        <m/>
        <s v="Flow-Through"/>
        <s v="AAPRJ20376" u="1"/>
        <s v="AAPRJ20379" u="1"/>
        <s v="AAPRJ20381" u="1"/>
        <s v="AAPRJ20373" u="1"/>
        <s v="AAPRJ20374" u="1"/>
        <s v="AAPRJ20375" u="1"/>
        <s v="AAPRJ20377" u="1"/>
        <s v="AAPRJ20380" u="1"/>
        <s v="AAPRJ20382" u="1"/>
        <s v="AAPRJ20275" u="1"/>
        <s v="AAPRJ20276" u="1"/>
      </sharedItems>
    </cacheField>
    <cacheField name="Categoria" numFmtId="0">
      <sharedItems containsBlank="1"/>
    </cacheField>
    <cacheField name="Método" numFmtId="0">
      <sharedItems containsBlank="1"/>
    </cacheField>
    <cacheField name="Project Title" numFmtId="0">
      <sharedItems containsBlank="1"/>
    </cacheField>
    <cacheField name="Contratos" numFmtId="0">
      <sharedItems containsBlank="1" containsMixedTypes="1" containsNumber="1" containsInteger="1" minValue="4600035772" maxValue="4600048879"/>
    </cacheField>
    <cacheField name="Project Owner" numFmtId="0">
      <sharedItems containsBlank="1" count="32">
        <s v="Global"/>
        <s v="Tamyris Achoche"/>
        <s v="Leonardo Soares"/>
        <s v="Bruna Oliveira"/>
        <s v="Thaiz Araujo"/>
        <s v="Capex"/>
        <s v="Matheus Rosa"/>
        <s v="Fernanda Rodrigues"/>
        <s v="Lígia Rocha"/>
        <s v="Vitor Hostt"/>
        <s v="Gilmara Miotto"/>
        <s v="Viviane Souza"/>
        <s v="Farid Radieddine"/>
        <s v="Hendy Oliveira"/>
        <s v="Mariana Garajau"/>
        <s v="Janaina Ferreira"/>
        <s v="Rafaela Galan"/>
        <s v="Vanessa Resende"/>
        <s v="Arthur Jorge"/>
        <s v="Daniel Lima"/>
        <s v="Lucas Valim"/>
        <s v="Giovanna Ribeiro"/>
        <s v="Cristina Candéa"/>
        <s v="Camila Acorsi"/>
        <s v="Carlos Cirilo"/>
        <s v="Guilherme Toledo"/>
        <s v="Janaína Ferreira"/>
        <s v="liana goddard"/>
        <s v="Nazaré Silva"/>
        <s v="Thiago Gonçalves"/>
        <s v="Valquiria Alves"/>
        <m/>
      </sharedItems>
    </cacheField>
    <cacheField name="Team" numFmtId="0">
      <sharedItems containsBlank="1" count="12">
        <s v="HME, Fuel &amp; Explosives"/>
        <s v="Indirects"/>
        <s v="Direct Materials"/>
        <s v="Capex"/>
        <s v="Mining Services &amp; Rebuilds"/>
        <s v="Energy"/>
        <s v="Tail Spend"/>
        <s v="Indirects - Services"/>
        <s v="Materials Planning"/>
        <s v="Global"/>
        <m/>
        <s v="Melhoria e Desempenho" u="1"/>
      </sharedItems>
    </cacheField>
    <cacheField name="Project Manager" numFmtId="0">
      <sharedItems containsBlank="1" count="7">
        <s v="Evandro Guarino"/>
        <s v="Emilia Kaneko"/>
        <s v="Gustavo Andrade"/>
        <s v="Raphael Bessa"/>
        <s v="Global"/>
        <m/>
        <s v="Eliana Pinto" u="1"/>
      </sharedItems>
    </cacheField>
    <cacheField name="Nature" numFmtId="0">
      <sharedItems containsBlank="1"/>
    </cacheField>
    <cacheField name="Category L0" numFmtId="0">
      <sharedItems containsBlank="1"/>
    </cacheField>
    <cacheField name="Category L1" numFmtId="0">
      <sharedItems containsBlank="1"/>
    </cacheField>
    <cacheField name="Expenditure Type" numFmtId="0">
      <sharedItems containsBlank="1" count="3">
        <s v="Opex"/>
        <s v="Capex"/>
        <m/>
      </sharedItems>
    </cacheField>
    <cacheField name="Project Type" numFmtId="0">
      <sharedItems containsBlank="1" count="4">
        <s v="Value Protection"/>
        <s v="EBITDA"/>
        <s v="Cash"/>
        <m/>
      </sharedItems>
    </cacheField>
    <cacheField name="Iniciative Type" numFmtId="0">
      <sharedItems containsBlank="1"/>
    </cacheField>
    <cacheField name="Start Delivery Date" numFmtId="168">
      <sharedItems containsNonDate="0" containsDate="1" containsString="0" containsBlank="1" minDate="2026-01-01T00:00:00" maxDate="2026-10-02T00:00:00"/>
    </cacheField>
    <cacheField name="End Delivery Date" numFmtId="168">
      <sharedItems containsNonDate="0" containsDate="1" containsString="0" containsBlank="1" minDate="2026-01-31T00:00:00" maxDate="2029-02-02T00:00:00"/>
    </cacheField>
    <cacheField name="Observação" numFmtId="168">
      <sharedItems containsBlank="1"/>
    </cacheField>
    <cacheField name="Expected Savings USD - 2026" numFmtId="166">
      <sharedItems containsString="0" containsBlank="1" containsNumber="1" minValue="0" maxValue="9008034.7218486965"/>
    </cacheField>
    <cacheField name="Expected Savings BRL - 2026" numFmtId="165">
      <sharedItems containsString="0" containsBlank="1" containsNumber="1" minValue="0" maxValue="50444994.442352697"/>
    </cacheField>
    <cacheField name="Total Delivered 2026 (USD)" numFmtId="166">
      <sharedItems containsString="0" containsBlank="1" containsNumber="1" minValue="0" maxValue="7098738.3100000005"/>
    </cacheField>
    <cacheField name="Total Delivered 2026 (BRL)" numFmtId="165">
      <sharedItems containsString="0" containsBlank="1" containsNumber="1" minValue="0" maxValue="78094827.609999999" count="321">
        <n v="15923032.57552897"/>
        <n v="14661831.799999999"/>
        <n v="2408604.5723440009"/>
        <n v="39752934.535999998"/>
        <n v="13230795.199999999"/>
        <n v="13668615.015999999"/>
        <n v="12557737.024"/>
        <n v="12100000"/>
        <n v="11974296.991999999"/>
        <n v="13911303.951324528"/>
        <n v="6902633.9759999998"/>
        <n v="0"/>
        <n v="6974982.98250404"/>
        <n v="6182229.9839999992"/>
        <n v="572397.74340000004"/>
        <n v="4785932.9840000002"/>
        <n v="4666000.9759999998"/>
        <n v="69103.31"/>
        <n v="9733553.4239999987"/>
        <n v="41661.325798399994"/>
        <n v="4625164.7360272789"/>
        <n v="541796.07000000007"/>
        <n v="3637700.0240000002"/>
        <n v="9106257.8879999984"/>
        <n v="49915.150000000009"/>
        <n v="2707408.9839999997"/>
        <n v="2653094.0239999997"/>
        <n v="8558.17"/>
        <n v="1546.69"/>
        <n v="2271048.0239999997"/>
        <n v="7130408.209999999"/>
        <n v="2203969.7119999998"/>
        <n v="2202902.0159999998"/>
        <n v="1989151.0239999997"/>
        <n v="4004141"/>
        <n v="4081.8399999999983"/>
        <n v="5870232.9819999998"/>
        <n v="4285747.8324705893"/>
        <n v="2290374.6"/>
        <n v="1278205.4938947363"/>
        <n v="4219510.7695010956"/>
        <n v="1531260.5600000003"/>
        <n v="1099999.9920000001"/>
        <n v="3576318.5392941162"/>
        <n v="1070875.0079999999"/>
        <n v="1066621.3187368419"/>
        <n v="1063924.0079999999"/>
        <n v="933936.52799999993"/>
        <n v="893519.2"/>
        <n v="889999.99759999989"/>
        <n v="840875"/>
        <n v="990794.18000000017"/>
        <n v="3393360.2303999993"/>
        <n v="813883.48"/>
        <n v="675930.52799999993"/>
        <n v="636787.98399999994"/>
        <n v="1206470.17"/>
        <n v="983626.21"/>
        <n v="577554.99199999997"/>
        <n v="601924.34000000008"/>
        <n v="634338.29"/>
        <n v="1887563.0599999998"/>
        <n v="281985.90000000002"/>
        <n v="519593.38273684285"/>
        <n v="502320.728"/>
        <n v="498165.02399999992"/>
        <n v="1516547.9699999997"/>
        <n v="1498126.55"/>
        <n v="458207.00799999991"/>
        <n v="764164.52999999991"/>
        <n v="627772.05999999994"/>
        <n v="354448.97599999997"/>
        <n v="327512.02399999998"/>
        <n v="138194.4"/>
        <n v="1854171.3119999999"/>
        <n v="264544.25999999995"/>
        <n v="180456.58"/>
        <n v="232132.264"/>
        <n v="1120362.75"/>
        <n v="651560.35000000009"/>
        <n v="204221.12"/>
        <n v="257899.37999999998"/>
        <n v="178249.008"/>
        <n v="1110068.456"/>
        <n v="158500.38399999999"/>
        <n v="1096919.363555555"/>
        <n v="769628.41999999993"/>
        <n v="120257.98399999998"/>
        <n v="118400.01599999999"/>
        <n v="710948.32149453997"/>
        <n v="1448257.6199999999"/>
        <n v="103941.29999999999"/>
        <n v="140422.85999999999"/>
        <n v="97483.680000000008"/>
        <n v="80710.19"/>
        <n v="92740.39"/>
        <n v="76715.260000000009"/>
        <n v="633797.13"/>
        <n v="64146.139999999992"/>
        <n v="426550.72400000005"/>
        <n v="20882.259999999998"/>
        <n v="306568.2"/>
        <n v="91230.75"/>
        <n v="21634.28"/>
        <n v="231384.68"/>
        <n v="146219.48262571282"/>
        <n v="310037.35053132678"/>
        <n v="159113.03"/>
        <n v="106725.95999999999"/>
        <n v="74185.833584330918"/>
        <n v="98631.29"/>
        <n v="36979.74"/>
        <n v="11689.2"/>
        <n v="4081.85"/>
        <n v="9818.25"/>
        <n v="1576.8200000000002"/>
        <n v="1239.75"/>
        <n v="1145.1500000000001"/>
        <n v="156.54"/>
        <n v="12620739.806660002"/>
        <n v="1185789.83"/>
        <n v="173947.20000000024"/>
        <m/>
        <n v="11332167.282064091" u="1"/>
        <n v="9420937.0199999996" u="1"/>
        <n v="6290653.824" u="1"/>
        <n v="6271390.9980500005" u="1"/>
        <n v="5228301.5199999996" u="1"/>
        <n v="4453256.8080000002" u="1"/>
        <n v="4221119.0282351999" u="1"/>
        <n v="3924123.5073616519" u="1"/>
        <n v="3710020.9999999995" u="1"/>
        <n v="3172654.0159999998" u="1"/>
        <n v="2460549.7222655998" u="1"/>
        <n v="2323886.77" u="1"/>
        <n v="2252515.622" u="1"/>
        <n v="1865050.7011761884" u="1"/>
        <n v="1671504.7599999998" u="1"/>
        <n v="1652924.3295991998" u="1"/>
        <n v="1597196.8299999998" u="1"/>
        <n v="1410483.68" u="1"/>
        <n v="1296362.9699999997" u="1"/>
        <n v="1241353.68" u="1"/>
        <n v="793579.8" u="1"/>
        <n v="747599.02999999991" u="1"/>
        <n v="705606.22" u="1"/>
        <n v="585426.39999999991" u="1"/>
        <n v="551329.99" u="1"/>
        <n v="530119.69000000006" u="1"/>
        <n v="528214.67000000004" u="1"/>
        <n v="496077.00799999991" u="1"/>
        <n v="477729.46" u="1"/>
        <n v="436072.16000000003" u="1"/>
        <n v="365614.90400000004" u="1"/>
        <n v="257894.81" u="1"/>
        <n v="253239.01" u="1"/>
        <n v="237044.30000000002" u="1"/>
        <n v="224680.64" u="1"/>
        <n v="216400.94" u="1"/>
        <n v="191430.11" u="1"/>
        <n v="157946.37599999999" u="1"/>
        <n v="145595.70049239558" u="1"/>
        <n v="113065.98" u="1"/>
        <n v="107908.35999999994" u="1"/>
        <n v="66074" u="1"/>
        <n v="52893.62" u="1"/>
        <n v="50551.040000000001" u="1"/>
        <n v="49619.34" u="1"/>
        <n v="40023.799999999996" u="1"/>
        <n v="38915.54" u="1"/>
        <n v="32442.21" u="1"/>
        <n v="8057.5400000000009" u="1"/>
        <n v="7139.25" u="1"/>
        <n v="3796.21" u="1"/>
        <n v="3702.87" u="1"/>
        <n v="867.98000000000013" u="1"/>
        <n v="367.08000000000004" u="1"/>
        <n v="835752.37999999989" u="1"/>
        <n v="8585184.6400000006" u="1"/>
        <n v="8571495.6649411786" u="1"/>
        <n v="5251360.0515223565" u="1"/>
        <n v="5039181.22" u="1"/>
        <n v="2967044.0143917948" u="1"/>
        <n v="2556410.9877894726" u="1"/>
        <n v="1313309.2324732488" u="1"/>
        <n v="990279.23031992256" u="1"/>
        <n v="484831.76999999996" u="1"/>
        <n v="195417.05000000002" u="1"/>
        <n v="189291.21" u="1"/>
        <n v="105771.23" u="1"/>
        <n v="80100.41" u="1"/>
        <n v="54566.110000000008" u="1"/>
        <n v="50688.959999999999" u="1"/>
        <n v="78094827.609999999" u="1"/>
        <n v="652.5" u="1"/>
        <n v="1865050.7120000001" u="1"/>
        <n v="304679.08799999999" u="1"/>
        <n v="173947.2" u="1"/>
        <n v="90297.368000000002" u="1"/>
        <n v="1504581.68" u="1"/>
        <n v="752290.84" u="1"/>
        <n v="26199.207999999999" u="1"/>
        <n v="107839.2" u="1"/>
        <n v="489900.48799999995" u="1"/>
        <n v="710473.96" u="1"/>
        <n v="3668284.3119999999" u="1"/>
        <n v="1184400" u="1"/>
        <n v="158019.90399999998" u="1"/>
        <n v="192025.4" u="1"/>
        <n v="224680.62399999998" u="1"/>
        <n v="157946.38999999998" u="1"/>
        <n v="436072.16799999995" u="1"/>
        <n v="103941.31999999999" u="1"/>
        <n v="204221.13599999997" u="1"/>
        <n v="517958.05599999992" u="1"/>
        <n v="355613.94399999996" u="1"/>
        <n v="8616641.5999999996" u="1"/>
        <n v="3271374.4" u="1"/>
        <n v="381675.27999999997" u="1"/>
        <n v="2960350.0079999999" u="1"/>
        <n v="107908.35999999999" u="1"/>
        <n v="279725.82399999996" u="1"/>
        <n v="585426.40799999994" u="1"/>
        <n v="288.11" u="1"/>
        <n v="6369.7500000000009" u="1"/>
        <n v="246859.75999999998" u="1"/>
        <n v="334099.38" u="1"/>
        <n v="158419.26" u="1"/>
        <n v="1105708.9679999999" u="1"/>
        <n v="582610.16799999995" u="1"/>
        <n v="11798.919999999998" u="1"/>
        <n v="11395459.236840008" u="1"/>
        <n v="5197572.8" u="1"/>
        <n v="3650536.4328160011" u="1"/>
        <n v="1660926.9476128009" u="1"/>
        <n v="1154453.5506503999" u="1"/>
        <n v="400815.18260000006" u="1"/>
        <n v="34943.903814399993" u="1"/>
        <n v="6926920" u="1"/>
        <n v="2635281.5999999996" u="1"/>
        <n v="3496925.4600000004" u="1"/>
        <n v="2886397.43" u="1"/>
        <n v="111600.58000000002" u="1"/>
        <n v="484003.99999999994" u="1"/>
        <n v="336630.59" u="1"/>
        <n v="377032.74000000005" u="1"/>
        <n v="30151.820000000007" u="1"/>
        <n v="164379.4" u="1"/>
        <n v="147258.91" u="1"/>
        <n v="146114.76" u="1"/>
        <n v="101951.54" u="1"/>
        <n v="1003812.4199999999" u="1"/>
        <n v="64399.94000000001" u="1"/>
        <n v="145128.37" u="1"/>
        <n v="937049.79999999993" u="1"/>
        <n v="346128.35" u="1"/>
        <n v="385330.52" u="1"/>
        <n v="243743.26400000002" u="1"/>
        <n v="171153.1" u="1"/>
        <n v="1092259.6499999999" u="1"/>
        <n v="460758.00999999995" u="1"/>
        <n v="52800.37" u="1"/>
        <n v="5197572.2080500005" u="1"/>
        <n v="5425966.4858473334" u="1"/>
        <n v="2131224.5" u="1"/>
        <n v="1977008.7139681967" u="1"/>
        <n v="4518434.4595162775" u="1"/>
        <n v="2658098.5915006413" u="1"/>
        <n v="7502120.6534869224" u="1"/>
        <n v="7004980.9573519956" u="1"/>
        <n v="2833148.0243917946" u="1"/>
        <n v="1869231.9839999997" u="1"/>
        <n v="2995019.25" u="1"/>
        <n v="2236880.21" u="1"/>
        <n v="2326522.5475329868" u="1"/>
        <n v="813687.95200000005" u="1"/>
        <n v="585191.82399999991" u="1"/>
        <n v="98535.74" u="1"/>
        <n v="382581.6" u="1"/>
        <n v="262456.13" u="1"/>
        <n v="367969.5" u="1"/>
        <n v="285184.65079999994" u="1"/>
        <n v="137385.07" u="1"/>
        <n v="90821.349999999991" u="1"/>
        <n v="5658.67" u="1"/>
        <n v="4203.75" u="1"/>
        <n v="92.83" u="1"/>
        <n v="169196.98" u="1"/>
        <n v="12648.54" u="1"/>
        <n v="41343.83" u="1"/>
        <n v="260090.76799999998" u="1"/>
        <n v="528063.08799999999" u="1"/>
        <n v="121871.624" u="1"/>
        <n v="24586.820342477189" u="1"/>
        <n v="1799999.9919999999" u="1"/>
        <n v="3528274.7173519949" u="1"/>
        <n v="3843167.5485980534" u="1"/>
        <n v="1792507.5344786593" u="1"/>
        <n v="1327174" u="1"/>
        <n v="1320754.4131321562" u="1"/>
        <n v="3042963.05765008" u="1"/>
        <n v="3027061.84" u="1"/>
        <n v="2012314.76" u="1"/>
        <n v="220821.21319999997" u="1"/>
        <n v="585191.83928999992" u="1"/>
        <n v="1603304.3650578607" u="1"/>
        <n v="110984.67" u="1"/>
        <n v="107261.11" u="1"/>
        <n v="79608.39" u="1"/>
        <n v="219508.09000000003" u="1"/>
        <n v="1707.28" u="1"/>
        <n v="37412.236753288176" u="1"/>
        <n v="106142.14000000001" u="1"/>
        <n v="813687.95826800028" u="1"/>
        <n v="1466053.592315" u="1"/>
        <n v="14515.246879999997" u="1"/>
        <n v="84.29" u="1"/>
        <n v="277839.05000000005" u="1"/>
        <n v="4191937.6021067384" u="1"/>
        <n v="30151.819999999996" u="1"/>
        <n v="277839.05" u="1"/>
      </sharedItems>
    </cacheField>
    <cacheField name="Ketra" numFmtId="0">
      <sharedItems containsNonDate="0" containsString="0" containsBlank="1"/>
    </cacheField>
    <cacheField name="Zycus" numFmtId="0">
      <sharedItems containsNonDate="0" containsString="0" containsBlank="1"/>
    </cacheField>
    <cacheField name="À LANÇAR USD" numFmtId="43">
      <sharedItems containsNonDate="0" containsString="0" containsBlank="1"/>
    </cacheField>
    <cacheField name="jan" numFmtId="0">
      <sharedItems containsString="0" containsBlank="1" containsNumber="1" minValue="-8016.971428571429" maxValue="630049.05666999903"/>
    </cacheField>
    <cacheField name="fev" numFmtId="0">
      <sharedItems containsString="0" containsBlank="1" containsNumber="1" minValue="0" maxValue="7098738.3100000005"/>
    </cacheField>
    <cacheField name="mar" numFmtId="0">
      <sharedItems containsString="0" containsBlank="1" containsNumber="1" minValue="-50266.867857142861" maxValue="784013.97848000238"/>
    </cacheField>
    <cacheField name="abr" numFmtId="0">
      <sharedItems containsString="0" containsBlank="1" containsNumber="1" minValue="0" maxValue="2160714.2857142859"/>
    </cacheField>
    <cacheField name="mai" numFmtId="0">
      <sharedItems containsString="0" containsBlank="1" containsNumber="1" minValue="0" maxValue="301736.08489357954"/>
    </cacheField>
    <cacheField name="jun" numFmtId="0">
      <sharedItems containsString="0" containsBlank="1" containsNumber="1" minValue="0" maxValue="2618184.25"/>
    </cacheField>
    <cacheField name="jul" numFmtId="0">
      <sharedItems containsString="0" containsBlank="1" containsNumber="1" minValue="0" maxValue="2362642"/>
    </cacheField>
    <cacheField name="ago" numFmtId="0">
      <sharedItems containsNonDate="0" containsString="0" containsBlank="1"/>
    </cacheField>
    <cacheField name="set" numFmtId="0">
      <sharedItems containsNonDate="0" containsString="0" containsBlank="1"/>
    </cacheField>
    <cacheField name="out" numFmtId="0">
      <sharedItems containsNonDate="0" containsString="0" containsBlank="1"/>
    </cacheField>
    <cacheField name="nov" numFmtId="0">
      <sharedItems containsNonDate="0" containsString="0" containsBlank="1"/>
    </cacheField>
    <cacheField name="dez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x v="0"/>
    <x v="0"/>
    <s v="GFA"/>
    <s v="Arthur/Jorge Mauricio"/>
    <s v="FL26 - Parts discount from Komatsu GFA - Komatsu"/>
    <m/>
    <x v="0"/>
    <x v="0"/>
    <x v="0"/>
    <s v="Material"/>
    <s v="Directs"/>
    <s v="MINING EQUIPMENT"/>
    <x v="0"/>
    <x v="0"/>
    <s v="Budgeted"/>
    <d v="2026-01-01T00:00:00"/>
    <d v="2026-12-31T00:00:00"/>
    <m/>
    <n v="9008034.7218486965"/>
    <n v="50444994.442352697"/>
    <n v="2843398.6742016021"/>
    <x v="0"/>
    <m/>
    <m/>
    <m/>
    <n v="630049.05666999903"/>
    <n v="620840.40486060013"/>
    <n v="784013.97848000238"/>
    <n v="808495.23419100046"/>
    <m/>
    <m/>
    <m/>
    <m/>
    <m/>
    <m/>
    <m/>
    <m/>
  </r>
  <r>
    <x v="1"/>
    <x v="0"/>
    <s v="One shot"/>
    <s v="Tamyris"/>
    <s v="Light Vehicles IOB - Contingency Saving from BID Postponement"/>
    <m/>
    <x v="1"/>
    <x v="1"/>
    <x v="1"/>
    <s v="Services"/>
    <s v="Indirects"/>
    <s v="HR SERVICES"/>
    <x v="0"/>
    <x v="1"/>
    <s v="Budgeted"/>
    <d v="2026-01-01T00:00:00"/>
    <d v="2026-12-01T00:00:00"/>
    <m/>
    <n v="0"/>
    <n v="0"/>
    <n v="2618184.25"/>
    <x v="1"/>
    <m/>
    <m/>
    <m/>
    <m/>
    <m/>
    <m/>
    <m/>
    <m/>
    <n v="2618184.25"/>
    <m/>
    <m/>
    <m/>
    <m/>
    <m/>
    <m/>
  </r>
  <r>
    <x v="2"/>
    <x v="1"/>
    <s v="Contrato/pedido"/>
    <s v="Spend (validar se há saving no insumo)"/>
    <s v="FL26 - Petronas - IOB_Lubricants Bidding Process"/>
    <s v="4600041454 21,16%"/>
    <x v="2"/>
    <x v="0"/>
    <x v="0"/>
    <s v="Material"/>
    <s v="Directs"/>
    <s v="MINING COMMODITIES"/>
    <x v="0"/>
    <x v="0"/>
    <s v="Un-budgeted"/>
    <d v="2026-01-01T00:00:00"/>
    <d v="2026-12-01T00:00:00"/>
    <s v="21,16% (baseline)"/>
    <n v="1006381.1705038267"/>
    <n v="5635734.5548214288"/>
    <n v="430107.95934714301"/>
    <x v="2"/>
    <m/>
    <m/>
    <m/>
    <m/>
    <m/>
    <m/>
    <m/>
    <m/>
    <m/>
    <n v="430107.95934714301"/>
    <m/>
    <m/>
    <m/>
    <m/>
    <m/>
  </r>
  <r>
    <x v="3"/>
    <x v="1"/>
    <s v="Projeto"/>
    <s v="Spend (validar se há saving no insumo)"/>
    <s v="Acquisition of 7 trucks Negotiation"/>
    <m/>
    <x v="3"/>
    <x v="0"/>
    <x v="0"/>
    <s v="Services"/>
    <s v="Directs"/>
    <s v="MINING EQUIPMENT"/>
    <x v="1"/>
    <x v="0"/>
    <s v="Budgeted"/>
    <d v="2026-01-01T00:00:00"/>
    <d v="2026-12-01T00:00:00"/>
    <m/>
    <n v="7736612.7999999998"/>
    <n v="43325031.68"/>
    <n v="7098738.3100000005"/>
    <x v="3"/>
    <m/>
    <m/>
    <m/>
    <m/>
    <n v="7098738.3100000005"/>
    <m/>
    <m/>
    <m/>
    <m/>
    <m/>
    <m/>
    <m/>
    <m/>
    <m/>
    <m/>
  </r>
  <r>
    <x v="4"/>
    <x v="0"/>
    <s v="Insumos"/>
    <s v="Basket"/>
    <s v="FL26 - Raw Materials - Cost Reduction Negotiations 2026"/>
    <m/>
    <x v="4"/>
    <x v="2"/>
    <x v="0"/>
    <s v="Material"/>
    <s v="Directs"/>
    <s v="PROCESSING"/>
    <x v="0"/>
    <x v="1"/>
    <s v="Un-budgeted"/>
    <d v="2026-06-01T00:00:00"/>
    <d v="2027-06-01T00:00:00"/>
    <m/>
    <n v="84685.009540446859"/>
    <n v="474236.05342650239"/>
    <n v="2362642"/>
    <x v="4"/>
    <m/>
    <m/>
    <m/>
    <m/>
    <m/>
    <m/>
    <m/>
    <m/>
    <m/>
    <n v="2362642"/>
    <m/>
    <m/>
    <m/>
    <m/>
    <m/>
  </r>
  <r>
    <x v="5"/>
    <x v="2"/>
    <s v="Capex"/>
    <s v="Capex"/>
    <s v="CO25- IOT Tailings Filtering_Copy"/>
    <m/>
    <x v="5"/>
    <x v="3"/>
    <x v="2"/>
    <s v="Services"/>
    <s v="Indirects"/>
    <s v="Capex"/>
    <x v="1"/>
    <x v="2"/>
    <s v="Capex"/>
    <d v="2026-01-01T00:00:00"/>
    <d v="2026-12-01T00:00:00"/>
    <m/>
    <n v="0"/>
    <n v="0"/>
    <n v="2440824.11"/>
    <x v="5"/>
    <m/>
    <m/>
    <m/>
    <m/>
    <m/>
    <m/>
    <m/>
    <m/>
    <n v="2440824.11"/>
    <m/>
    <m/>
    <m/>
    <m/>
    <m/>
    <m/>
  </r>
  <r>
    <x v="6"/>
    <x v="2"/>
    <s v="Capex"/>
    <s v="Capex"/>
    <s v="CO25- Terraplenagem fase 02 da Filtragem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2242453.04"/>
    <x v="6"/>
    <m/>
    <m/>
    <m/>
    <m/>
    <m/>
    <m/>
    <m/>
    <m/>
    <n v="2242453.04"/>
    <m/>
    <m/>
    <m/>
    <m/>
    <m/>
    <m/>
  </r>
  <r>
    <x v="7"/>
    <x v="0"/>
    <s v="Prime"/>
    <s v="Prime"/>
    <s v="Devolução Caminhões R&amp;D - (Prime)"/>
    <m/>
    <x v="6"/>
    <x v="4"/>
    <x v="0"/>
    <s v="Services"/>
    <s v="Directs"/>
    <s v="MINING SERVICES"/>
    <x v="0"/>
    <x v="1"/>
    <s v="Budgeted"/>
    <d v="2026-01-01T00:00:00"/>
    <d v="2026-12-01T00:00:00"/>
    <m/>
    <n v="0"/>
    <n v="0"/>
    <n v="2160714.2857142859"/>
    <x v="7"/>
    <m/>
    <m/>
    <m/>
    <m/>
    <m/>
    <m/>
    <n v="2160714.2857142859"/>
    <m/>
    <m/>
    <m/>
    <m/>
    <m/>
    <m/>
    <m/>
    <m/>
  </r>
  <r>
    <x v="8"/>
    <x v="2"/>
    <s v="Capex"/>
    <s v="Capex"/>
    <s v="CO25- Geradores da Filtragem_Copy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2138267.3199999998"/>
    <x v="8"/>
    <m/>
    <m/>
    <m/>
    <m/>
    <m/>
    <m/>
    <m/>
    <m/>
    <n v="2138267.3199999998"/>
    <m/>
    <m/>
    <m/>
    <m/>
    <m/>
    <m/>
  </r>
  <r>
    <x v="9"/>
    <x v="0"/>
    <s v="Energia"/>
    <s v="Fernanda e Haroldo"/>
    <s v="FL26 - Energy Self-Production Benefits"/>
    <m/>
    <x v="7"/>
    <x v="5"/>
    <x v="1"/>
    <s v="Material"/>
    <s v="Indirects"/>
    <s v="UTILITIES"/>
    <x v="0"/>
    <x v="0"/>
    <s v="Budgeted"/>
    <d v="2026-01-01T00:00:00"/>
    <d v="2026-12-31T00:00:00"/>
    <m/>
    <n v="5285714.2857142864"/>
    <n v="29600000"/>
    <n v="2484161.4198793801"/>
    <x v="9"/>
    <m/>
    <m/>
    <m/>
    <n v="384766.49828710937"/>
    <n v="301513.91939250956"/>
    <n v="282642.16907883354"/>
    <n v="268027.6058046837"/>
    <n v="301736.08489357954"/>
    <n v="484915.02291187196"/>
    <n v="460560.11951079249"/>
    <m/>
    <m/>
    <m/>
    <m/>
    <m/>
  </r>
  <r>
    <x v="10"/>
    <x v="2"/>
    <s v="Capex"/>
    <s v="Capex"/>
    <s v="CO25- Montagem EletromecÃ¢nica da Filtragem_Copy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1232613.21"/>
    <x v="10"/>
    <m/>
    <m/>
    <m/>
    <m/>
    <m/>
    <m/>
    <m/>
    <m/>
    <n v="1232613.21"/>
    <m/>
    <m/>
    <m/>
    <m/>
    <m/>
    <m/>
  </r>
  <r>
    <x v="11"/>
    <x v="0"/>
    <s v="Contrato/pedido"/>
    <s v="Spend (validar se há saving no insumo)"/>
    <s v="FL26 - ENAEX IBQ Nitrate Amendment"/>
    <s v="4600036336_x000a_4600036337_x000a_6,97%_x0009_"/>
    <x v="2"/>
    <x v="0"/>
    <x v="0"/>
    <s v="Material"/>
    <s v="Directs"/>
    <s v="MINING COMMODITIES"/>
    <x v="0"/>
    <x v="0"/>
    <s v="Un-budgeted"/>
    <d v="2026-01-01T00:00:00"/>
    <d v="2026-12-01T00:00:00"/>
    <m/>
    <n v="128571.42857142858"/>
    <n v="720000"/>
    <n v="0"/>
    <x v="11"/>
    <m/>
    <m/>
    <m/>
    <m/>
    <m/>
    <m/>
    <m/>
    <m/>
    <m/>
    <m/>
    <m/>
    <m/>
    <m/>
    <m/>
    <m/>
  </r>
  <r>
    <x v="12"/>
    <x v="0"/>
    <s v="Energia"/>
    <s v="Fernanda e Haroldo"/>
    <s v="FL26 - Energy Surplus Sales - SPOT"/>
    <m/>
    <x v="7"/>
    <x v="5"/>
    <x v="1"/>
    <s v="Material"/>
    <s v="Indirects"/>
    <s v="UTILITIES"/>
    <x v="0"/>
    <x v="0"/>
    <s v="Budgeted"/>
    <d v="2026-01-01T00:00:00"/>
    <d v="2026-12-31T00:00:00"/>
    <m/>
    <n v="375000"/>
    <n v="2100000"/>
    <n v="1245532.6754471501"/>
    <x v="12"/>
    <m/>
    <m/>
    <m/>
    <n v="0"/>
    <n v="540546.75714285718"/>
    <n v="387591.13715178578"/>
    <n v="0"/>
    <n v="0"/>
    <n v="191753.35535714286"/>
    <n v="125641.42579536427"/>
    <m/>
    <m/>
    <m/>
    <m/>
    <m/>
  </r>
  <r>
    <x v="13"/>
    <x v="2"/>
    <s v="Capex"/>
    <s v="Capex"/>
    <s v="CO25- Obras Civis da Filtragem_Copy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1103969.6399999999"/>
    <x v="13"/>
    <m/>
    <m/>
    <m/>
    <m/>
    <m/>
    <m/>
    <m/>
    <m/>
    <n v="1103969.6399999999"/>
    <m/>
    <m/>
    <m/>
    <m/>
    <m/>
    <m/>
  </r>
  <r>
    <x v="14"/>
    <x v="0"/>
    <s v="Contrato/pedido"/>
    <s v="Spend (validar se há saving no insumo)"/>
    <s v="FL26 - ENAEX IBQ Explosives Extension Contract"/>
    <s v="4600030651_x000a_4600036860_x000a_4600030828 2,5%"/>
    <x v="2"/>
    <x v="0"/>
    <x v="0"/>
    <s v="Material"/>
    <s v="Directs"/>
    <s v="MINING COMMODITIES"/>
    <x v="0"/>
    <x v="0"/>
    <s v="Un-budgeted"/>
    <d v="2026-01-01T00:00:00"/>
    <d v="2026-12-01T00:00:00"/>
    <m/>
    <n v="142857.14285714287"/>
    <n v="800000"/>
    <n v="102213.88275000002"/>
    <x v="14"/>
    <m/>
    <m/>
    <m/>
    <n v="27576.414500000003"/>
    <n v="13310.429250000001"/>
    <n v="11599.426250000002"/>
    <n v="20839.96"/>
    <n v="11243.010500000002"/>
    <n v="17644.642250000001"/>
    <m/>
    <m/>
    <m/>
    <m/>
    <m/>
    <m/>
  </r>
  <r>
    <x v="15"/>
    <x v="2"/>
    <s v="Capex"/>
    <s v="Capex"/>
    <s v="CO25 - Aditivo ao Contrato Montagem EletromecÃ¢nica MIP_Copy"/>
    <m/>
    <x v="5"/>
    <x v="3"/>
    <x v="2"/>
    <s v="Services"/>
    <s v="Directs"/>
    <s v="Capex"/>
    <x v="1"/>
    <x v="0"/>
    <s v="Capex"/>
    <d v="2026-01-01T00:00:00"/>
    <d v="2026-12-01T00:00:00"/>
    <m/>
    <n v="0"/>
    <n v="0"/>
    <n v="854630.89"/>
    <x v="15"/>
    <m/>
    <m/>
    <m/>
    <m/>
    <m/>
    <m/>
    <m/>
    <m/>
    <n v="854630.89"/>
    <m/>
    <m/>
    <m/>
    <m/>
    <m/>
    <m/>
  </r>
  <r>
    <x v="16"/>
    <x v="2"/>
    <s v="Capex"/>
    <s v="Capex"/>
    <s v="CO25- CAPEX Recleaner Flotation: Electromechanical and Civil_Copy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833214.46"/>
    <x v="16"/>
    <m/>
    <m/>
    <m/>
    <m/>
    <m/>
    <m/>
    <m/>
    <m/>
    <n v="833214.46"/>
    <m/>
    <m/>
    <m/>
    <m/>
    <m/>
    <m/>
  </r>
  <r>
    <x v="17"/>
    <x v="1"/>
    <s v="Contrato/pedido"/>
    <s v="Ketra"/>
    <s v="FL26 - 4600039735 - 12760499 - BID Port Personnel Transport with Ferroport"/>
    <m/>
    <x v="1"/>
    <x v="1"/>
    <x v="1"/>
    <s v="Services"/>
    <s v="Indirects"/>
    <s v="TRANSPORT &amp; LOGISTICS"/>
    <x v="0"/>
    <x v="0"/>
    <s v="Un-budgeted"/>
    <d v="2026-01-01T00:00:00"/>
    <d v="2026-03-01T00:00:00"/>
    <m/>
    <n v="8242"/>
    <n v="46155.199999999997"/>
    <n v="12339.876785714287"/>
    <x v="17"/>
    <m/>
    <m/>
    <m/>
    <n v="1114.4160714285715"/>
    <n v="7912.5553571428572"/>
    <n v="3312.9053571428576"/>
    <n v="0"/>
    <n v="0"/>
    <n v="0"/>
    <n v="0"/>
    <m/>
    <m/>
    <m/>
    <m/>
    <m/>
  </r>
  <r>
    <x v="18"/>
    <x v="0"/>
    <s v="Insumos"/>
    <s v="Basket"/>
    <s v="FL26 - Raw Material - Cost Reduction Amine 7848"/>
    <m/>
    <x v="4"/>
    <x v="2"/>
    <x v="0"/>
    <s v="Material"/>
    <s v="Directs"/>
    <s v="PROCESSING"/>
    <x v="0"/>
    <x v="1"/>
    <s v="Un-budgeted"/>
    <d v="2026-04-01T00:00:00"/>
    <d v="2027-04-01T00:00:00"/>
    <m/>
    <n v="1768397.1962262797"/>
    <n v="9903024.298867166"/>
    <n v="1738134.54"/>
    <x v="18"/>
    <m/>
    <m/>
    <m/>
    <m/>
    <m/>
    <m/>
    <m/>
    <m/>
    <m/>
    <n v="1738134.54"/>
    <m/>
    <m/>
    <m/>
    <m/>
    <m/>
  </r>
  <r>
    <x v="19"/>
    <x v="1"/>
    <s v="Contrato/pedido"/>
    <s v="Spend (validar se há saving no insumo)"/>
    <s v="FL26 - Kluber Lubrificantes"/>
    <s v="4600042406_x000a__x000a_3,76%"/>
    <x v="2"/>
    <x v="0"/>
    <x v="0"/>
    <s v="Material"/>
    <s v="Directs"/>
    <s v="MINING COMMODITIES"/>
    <x v="0"/>
    <x v="0"/>
    <s v="Un-budgeted"/>
    <d v="2026-01-01T00:00:00"/>
    <d v="2026-12-01T00:00:00"/>
    <s v="Saving Negociação: 3,76%"/>
    <n v="52334.233928571433"/>
    <n v="293071.71000000002"/>
    <n v="7439.5224639999997"/>
    <x v="19"/>
    <m/>
    <m/>
    <m/>
    <n v="2523.4322559999996"/>
    <n v="38.937055999999991"/>
    <n v="1397.6348639999999"/>
    <n v="1895.5656479999998"/>
    <n v="1573.490816"/>
    <n v="10.461823999999998"/>
    <m/>
    <m/>
    <m/>
    <m/>
    <m/>
    <m/>
  </r>
  <r>
    <x v="20"/>
    <x v="0"/>
    <s v="Energia"/>
    <s v="Fernanda e Haroldo"/>
    <s v="FL26 - Energy - Renewables - Demand Cost Reduction"/>
    <m/>
    <x v="7"/>
    <x v="5"/>
    <x v="1"/>
    <s v="Material"/>
    <s v="Indirects"/>
    <s v="UTILITIES"/>
    <x v="0"/>
    <x v="0"/>
    <s v="Budgeted"/>
    <d v="2026-01-01T00:00:00"/>
    <d v="2026-12-31T00:00:00"/>
    <m/>
    <n v="1285714.2857142857"/>
    <n v="7199999.9999999991"/>
    <n v="825922.27429058554"/>
    <x v="20"/>
    <m/>
    <m/>
    <m/>
    <n v="118556.53434429457"/>
    <n v="117292.0023450279"/>
    <n v="117188.73366214121"/>
    <n v="117548.11103126688"/>
    <n v="113589.06095287173"/>
    <n v="116561.89826469275"/>
    <n v="125185.93369029052"/>
    <m/>
    <m/>
    <m/>
    <m/>
    <m/>
  </r>
  <r>
    <x v="21"/>
    <x v="0"/>
    <s v="Contrato/pedido"/>
    <s v="Ketra"/>
    <s v="FL26 - Contract Negotiations - Tail Spend"/>
    <m/>
    <x v="8"/>
    <x v="6"/>
    <x v="0"/>
    <s v="Material"/>
    <s v="Directs"/>
    <m/>
    <x v="0"/>
    <x v="0"/>
    <s v="Un-budgeted"/>
    <d v="2026-01-01T00:00:00"/>
    <d v="2026-01-31T00:00:00"/>
    <m/>
    <n v="70000"/>
    <n v="392000"/>
    <n v="96749.298214285722"/>
    <x v="21"/>
    <m/>
    <m/>
    <m/>
    <n v="0"/>
    <n v="0"/>
    <n v="7382.8267857142864"/>
    <n v="18532.95357142857"/>
    <n v="66576.730357142864"/>
    <n v="2171.7196428571428"/>
    <n v="2085.0678571428571"/>
    <m/>
    <m/>
    <m/>
    <m/>
    <m/>
  </r>
  <r>
    <x v="22"/>
    <x v="2"/>
    <s v="Capex"/>
    <s v="Capex"/>
    <s v="CO25 - Compressores de Ar da Filtragem"/>
    <m/>
    <x v="5"/>
    <x v="3"/>
    <x v="2"/>
    <s v="Services"/>
    <s v="Directs"/>
    <s v="Capex"/>
    <x v="1"/>
    <x v="0"/>
    <s v="Capex"/>
    <d v="2026-01-01T00:00:00"/>
    <d v="2026-12-01T00:00:00"/>
    <m/>
    <n v="0"/>
    <n v="0"/>
    <n v="649589.29"/>
    <x v="22"/>
    <m/>
    <m/>
    <m/>
    <m/>
    <m/>
    <m/>
    <m/>
    <m/>
    <n v="649589.29"/>
    <m/>
    <m/>
    <m/>
    <m/>
    <m/>
    <m/>
  </r>
  <r>
    <x v="23"/>
    <x v="0"/>
    <s v="Insumos"/>
    <s v="Basket"/>
    <s v="FL26 - Secondary Grinding Media Reduction "/>
    <m/>
    <x v="9"/>
    <x v="2"/>
    <x v="0"/>
    <s v="Material"/>
    <s v="Directs"/>
    <s v="PROCESSING"/>
    <x v="0"/>
    <x v="1"/>
    <s v="Un-budgeted"/>
    <d v="2026-01-01T00:00:00"/>
    <d v="2026-12-01T00:00:00"/>
    <m/>
    <n v="264285.71428571432"/>
    <n v="1480000"/>
    <n v="1626117.48"/>
    <x v="23"/>
    <m/>
    <m/>
    <m/>
    <m/>
    <m/>
    <m/>
    <m/>
    <m/>
    <m/>
    <n v="1626117.48"/>
    <m/>
    <m/>
    <m/>
    <m/>
    <m/>
  </r>
  <r>
    <x v="24"/>
    <x v="0"/>
    <s v="Contrato/pedido"/>
    <s v="Ketra"/>
    <s v="FL26 - Gerenciamento de Seg e Meio Ambiente"/>
    <m/>
    <x v="10"/>
    <x v="7"/>
    <x v="1"/>
    <s v="Services"/>
    <s v="Indirects"/>
    <m/>
    <x v="0"/>
    <x v="0"/>
    <s v="Un-budgeted"/>
    <d v="2026-01-01T00:00:00"/>
    <d v="2026-12-31T00:00:00"/>
    <m/>
    <n v="52894.285714285717"/>
    <n v="296208"/>
    <n v="8913.4196428571449"/>
    <x v="24"/>
    <m/>
    <m/>
    <m/>
    <n v="0"/>
    <n v="0"/>
    <n v="0"/>
    <n v="0"/>
    <n v="3503.1410714285716"/>
    <n v="2733.7428571428572"/>
    <n v="2676.5357142857147"/>
    <m/>
    <m/>
    <m/>
    <m/>
    <m/>
  </r>
  <r>
    <x v="25"/>
    <x v="2"/>
    <s v="Capex"/>
    <s v="Capex"/>
    <s v="CO25 - CAPEX GENERAL SIB 2024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483465.89"/>
    <x v="25"/>
    <m/>
    <m/>
    <m/>
    <m/>
    <m/>
    <m/>
    <m/>
    <m/>
    <n v="483465.89"/>
    <m/>
    <m/>
    <m/>
    <m/>
    <m/>
    <m/>
  </r>
  <r>
    <x v="26"/>
    <x v="2"/>
    <s v="Capex"/>
    <s v="Capex"/>
    <s v="CO25 - CAPEX Vertmills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473766.79"/>
    <x v="26"/>
    <m/>
    <m/>
    <m/>
    <m/>
    <m/>
    <m/>
    <m/>
    <m/>
    <n v="473766.79"/>
    <m/>
    <m/>
    <m/>
    <m/>
    <m/>
    <m/>
  </r>
  <r>
    <x v="27"/>
    <x v="3"/>
    <s v="Contrato/pedido"/>
    <s v="Ketra"/>
    <s v="Servico Especializado - John Jairo Madariaga Merino"/>
    <m/>
    <x v="6"/>
    <x v="4"/>
    <x v="0"/>
    <s v="Services"/>
    <s v="Directs"/>
    <m/>
    <x v="0"/>
    <x v="0"/>
    <s v="Un-budgeted"/>
    <d v="2026-01-01T00:00:00"/>
    <d v="2026-12-01T00:00:00"/>
    <m/>
    <n v="0"/>
    <n v="0"/>
    <n v="1528.2446428571429"/>
    <x v="27"/>
    <m/>
    <m/>
    <m/>
    <n v="0"/>
    <n v="0"/>
    <n v="0"/>
    <n v="0"/>
    <n v="0"/>
    <n v="677.89464285714291"/>
    <n v="850.35"/>
    <m/>
    <m/>
    <m/>
    <m/>
    <m/>
  </r>
  <r>
    <x v="28"/>
    <x v="3"/>
    <s v="Contrato/pedido"/>
    <s v="Ketra"/>
    <s v="Negociações contratos e pedidos - Indirects"/>
    <m/>
    <x v="11"/>
    <x v="1"/>
    <x v="1"/>
    <s v="Services"/>
    <s v="Indirects"/>
    <s v="HR SERVICES"/>
    <x v="0"/>
    <x v="0"/>
    <s v="Un-budgeted"/>
    <d v="2026-01-01T00:00:00"/>
    <d v="2026-12-01T00:00:00"/>
    <m/>
    <n v="0"/>
    <n v="0"/>
    <n v="276.19464285714287"/>
    <x v="28"/>
    <m/>
    <m/>
    <m/>
    <n v="42.125000000000007"/>
    <n v="0"/>
    <n v="11.66607142857143"/>
    <n v="5.8375000000000004"/>
    <n v="5.9214285714285708"/>
    <n v="0"/>
    <n v="210.64464285714286"/>
    <m/>
    <m/>
    <m/>
    <m/>
    <m/>
  </r>
  <r>
    <x v="29"/>
    <x v="2"/>
    <s v="Capex"/>
    <s v="Capex"/>
    <s v="CO25 - Montagem e Civil p/ InstalaÃ§Ã£o da Britagem MÃ³vel"/>
    <m/>
    <x v="5"/>
    <x v="3"/>
    <x v="2"/>
    <s v="Services"/>
    <s v="Directs"/>
    <s v="Capex"/>
    <x v="1"/>
    <x v="0"/>
    <s v="Capex"/>
    <d v="2026-01-01T00:00:00"/>
    <d v="2026-12-01T00:00:00"/>
    <m/>
    <n v="0"/>
    <n v="0"/>
    <n v="405544.29"/>
    <x v="29"/>
    <m/>
    <m/>
    <m/>
    <m/>
    <m/>
    <m/>
    <m/>
    <m/>
    <n v="405544.29"/>
    <m/>
    <m/>
    <m/>
    <m/>
    <m/>
    <m/>
  </r>
  <r>
    <x v="30"/>
    <x v="1"/>
    <s v="Contrato/pedido"/>
    <s v="Ketra"/>
    <s v="FL26 - 4600038047 -  12716522 - BID Personnel Transport IOB"/>
    <n v="4600038047"/>
    <x v="1"/>
    <x v="1"/>
    <x v="1"/>
    <s v="Services"/>
    <s v="Indirects"/>
    <s v="TRANSPORT &amp; LOGISTICS"/>
    <x v="0"/>
    <x v="0"/>
    <s v="Un-budgeted"/>
    <d v="2026-01-01T00:00:00"/>
    <d v="2026-06-15T00:00:00"/>
    <m/>
    <n v="494464.49026893027"/>
    <n v="2769001.1455060095"/>
    <n v="1273287.1803571428"/>
    <x v="30"/>
    <m/>
    <m/>
    <m/>
    <n v="134839.99464285714"/>
    <n v="145735.64285714287"/>
    <n v="149721.21964285715"/>
    <n v="153371.44107142859"/>
    <n v="186858.42857142858"/>
    <n v="163098.54464285716"/>
    <n v="339661.90892857139"/>
    <m/>
    <m/>
    <m/>
    <m/>
    <m/>
  </r>
  <r>
    <x v="31"/>
    <x v="2"/>
    <s v="Capex"/>
    <s v="Capex"/>
    <s v="Fornecimento de quadros e CCMs de mÃ©dia tensÃ£o e retrofit do quadro 0764â€‘QDâ€‘01.v2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393566.02"/>
    <x v="31"/>
    <m/>
    <m/>
    <m/>
    <m/>
    <m/>
    <m/>
    <m/>
    <m/>
    <n v="393566.02"/>
    <m/>
    <m/>
    <m/>
    <m/>
    <m/>
    <m/>
  </r>
  <r>
    <x v="32"/>
    <x v="2"/>
    <s v="Capex"/>
    <s v="Capex"/>
    <s v="CO25 - CAPEX Recleaner Flotation: Electrical Equipment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393375.36"/>
    <x v="32"/>
    <m/>
    <m/>
    <m/>
    <m/>
    <m/>
    <m/>
    <m/>
    <m/>
    <n v="393375.36"/>
    <m/>
    <m/>
    <m/>
    <m/>
    <m/>
    <m/>
  </r>
  <r>
    <x v="33"/>
    <x v="2"/>
    <s v="Capex"/>
    <s v="Capex"/>
    <s v="CO25 - CAPEX Recleaner Flotation: Carbon Steel Pipe.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355205.54"/>
    <x v="33"/>
    <m/>
    <m/>
    <m/>
    <m/>
    <m/>
    <m/>
    <m/>
    <m/>
    <n v="355205.54"/>
    <m/>
    <m/>
    <m/>
    <m/>
    <m/>
    <m/>
  </r>
  <r>
    <x v="34"/>
    <x v="0"/>
    <s v="Vendas"/>
    <s v="Farid"/>
    <s v="FL26 - Venda de Sucatas, Materiais e Ativos"/>
    <m/>
    <x v="12"/>
    <x v="8"/>
    <x v="3"/>
    <s v="Material"/>
    <s v="Directs"/>
    <s v="MECHANICAL SPARES"/>
    <x v="0"/>
    <x v="2"/>
    <s v="Un-budgeted"/>
    <d v="2026-01-01T00:00:00"/>
    <d v="2026-12-31T00:00:00"/>
    <m/>
    <n v="1500000"/>
    <n v="8400000"/>
    <n v="715025.17857142864"/>
    <x v="34"/>
    <m/>
    <m/>
    <m/>
    <n v="39042.857142857145"/>
    <n v="224090.71428571429"/>
    <n v="88400"/>
    <n v="86855.446428571435"/>
    <n v="65765.535714285725"/>
    <n v="158349.19642857142"/>
    <n v="52521.428571428638"/>
    <m/>
    <m/>
    <m/>
    <m/>
    <m/>
  </r>
  <r>
    <x v="35"/>
    <x v="0"/>
    <s v="Contrato/pedido"/>
    <s v="Ketra"/>
    <s v="FL26 - Inspecao tecnica - Applus"/>
    <m/>
    <x v="13"/>
    <x v="7"/>
    <x v="1"/>
    <s v="Services"/>
    <s v="Indirects"/>
    <m/>
    <x v="0"/>
    <x v="0"/>
    <s v="Un-budgeted"/>
    <d v="2026-01-01T00:00:00"/>
    <d v="2026-09-30T00:00:00"/>
    <m/>
    <n v="10858.192861607144"/>
    <n v="60805.880024999999"/>
    <n v="728.89999999999975"/>
    <x v="35"/>
    <m/>
    <m/>
    <m/>
    <n v="0"/>
    <n v="187.10000000000002"/>
    <n v="260.22678571428571"/>
    <n v="0"/>
    <n v="0"/>
    <n v="0"/>
    <n v="281.57321428571402"/>
    <m/>
    <m/>
    <m/>
    <m/>
    <m/>
  </r>
  <r>
    <x v="36"/>
    <x v="0"/>
    <s v="Contrato/pedido"/>
    <s v="Ketra"/>
    <s v="Redução de custos de combustíveis - Vibra Energia"/>
    <m/>
    <x v="2"/>
    <x v="0"/>
    <x v="0"/>
    <s v="Material"/>
    <s v="Directs"/>
    <s v="MINING EQUIPMENT"/>
    <x v="0"/>
    <x v="0"/>
    <s v="Un-budgeted"/>
    <d v="2026-01-01T00:00:00"/>
    <d v="2026-12-31T00:00:00"/>
    <m/>
    <n v="0"/>
    <n v="0"/>
    <n v="1048255.8896428572"/>
    <x v="36"/>
    <m/>
    <m/>
    <m/>
    <m/>
    <m/>
    <n v="321428.57"/>
    <n v="231881.09285714288"/>
    <n v="241239.67500000002"/>
    <n v="253706.55178571434"/>
    <m/>
    <m/>
    <m/>
    <m/>
    <m/>
    <m/>
  </r>
  <r>
    <x v="37"/>
    <x v="0"/>
    <s v="GFA"/>
    <s v="Odilon/Ainura"/>
    <s v="FL26 - GFA Parts and License discount - Hexagon - EBITDA"/>
    <m/>
    <x v="0"/>
    <x v="1"/>
    <x v="1"/>
    <s v="Material"/>
    <s v="Indirects"/>
    <s v="IT"/>
    <x v="0"/>
    <x v="1"/>
    <s v="Budgeted"/>
    <d v="2026-01-01T00:00:00"/>
    <d v="2026-12-31T00:00:00"/>
    <m/>
    <n v="163910"/>
    <n v="917896"/>
    <n v="765312.11294117663"/>
    <x v="37"/>
    <m/>
    <m/>
    <m/>
    <n v="191328.02823529416"/>
    <n v="191328.02823529416"/>
    <n v="191328.02823529416"/>
    <n v="191328.02823529416"/>
    <m/>
    <m/>
    <m/>
    <m/>
    <m/>
    <m/>
    <m/>
    <m/>
  </r>
  <r>
    <x v="38"/>
    <x v="4"/>
    <s v="Contrato/pedido"/>
    <s v="Ketra"/>
    <s v="FT - 3 TAC Unimar 4600028703 - Negociacao Reajuste 2025 (1,65%)"/>
    <m/>
    <x v="1"/>
    <x v="1"/>
    <x v="1"/>
    <s v="Services"/>
    <s v="Indirects"/>
    <s v="FACILITIES MANAGEMENT"/>
    <x v="0"/>
    <x v="0"/>
    <s v="Un-budgeted"/>
    <d v="2026-01-01T00:00:00"/>
    <d v="2026-12-01T00:00:00"/>
    <m/>
    <n v="0"/>
    <n v="0"/>
    <n v="408995.46428571432"/>
    <x v="38"/>
    <m/>
    <m/>
    <m/>
    <n v="0"/>
    <n v="0"/>
    <n v="0"/>
    <n v="0"/>
    <n v="0"/>
    <n v="0"/>
    <n v="408995.46428571432"/>
    <m/>
    <m/>
    <m/>
    <m/>
    <m/>
  </r>
  <r>
    <x v="39"/>
    <x v="0"/>
    <s v="GFA"/>
    <s v="Odilon/Ainura"/>
    <s v="FL26 - GFA Parts and License discount - Hexagon - Value Protection"/>
    <m/>
    <x v="0"/>
    <x v="1"/>
    <x v="1"/>
    <s v="Material"/>
    <s v="Indirects"/>
    <s v="IT"/>
    <x v="0"/>
    <x v="0"/>
    <s v="Budgeted"/>
    <d v="2026-01-01T00:00:00"/>
    <d v="2026-12-31T00:00:00"/>
    <m/>
    <n v="163910"/>
    <n v="917896"/>
    <n v="228250.98105263151"/>
    <x v="39"/>
    <m/>
    <m/>
    <m/>
    <n v="57062.745263157878"/>
    <n v="57062.745263157878"/>
    <n v="57062.745263157878"/>
    <n v="57062.745263157878"/>
    <m/>
    <m/>
    <m/>
    <m/>
    <m/>
    <m/>
    <m/>
    <m/>
  </r>
  <r>
    <x v="40"/>
    <x v="0"/>
    <s v="Insumos"/>
    <s v="Basket"/>
    <s v="Diesel Basket Items Below Budget 2026"/>
    <m/>
    <x v="2"/>
    <x v="0"/>
    <x v="0"/>
    <s v="Material"/>
    <s v="Directs"/>
    <s v="MINING EQUIPMENT"/>
    <x v="0"/>
    <x v="1"/>
    <s v="Budgeted"/>
    <d v="2026-01-01T00:00:00"/>
    <d v="2026-12-31T00:00:00"/>
    <m/>
    <n v="0"/>
    <n v="0"/>
    <n v="753484.06598233862"/>
    <x v="40"/>
    <m/>
    <m/>
    <m/>
    <m/>
    <m/>
    <m/>
    <m/>
    <m/>
    <m/>
    <n v="753484.06598233862"/>
    <m/>
    <m/>
    <m/>
    <m/>
    <m/>
  </r>
  <r>
    <x v="41"/>
    <x v="1"/>
    <s v="Contrato/pedido"/>
    <s v="Ketra"/>
    <s v="FL26 - 4600038939/4600041496 - Full facilities IOB MG - 12806299-12792917-12803485-12504178"/>
    <s v="AAPRJ17832"/>
    <x v="1"/>
    <x v="1"/>
    <x v="1"/>
    <s v="Services"/>
    <s v="Indirects"/>
    <s v="FACILITIES MANAGEMENT"/>
    <x v="0"/>
    <x v="0"/>
    <s v="Un-budgeted"/>
    <d v="2026-01-01T00:00:00"/>
    <d v="2026-01-31T00:00:00"/>
    <m/>
    <n v="91215.786485534642"/>
    <n v="510808.40431899397"/>
    <n v="273439.38571428577"/>
    <x v="41"/>
    <m/>
    <m/>
    <m/>
    <n v="85308.832142857151"/>
    <n v="188130.55357142861"/>
    <n v="0"/>
    <n v="0"/>
    <n v="0"/>
    <n v="0"/>
    <n v="0"/>
    <m/>
    <m/>
    <m/>
    <m/>
    <m/>
  </r>
  <r>
    <x v="42"/>
    <x v="2"/>
    <s v="Capex"/>
    <s v="Capex"/>
    <s v="CO25 - CAPEX - ConstruÃ§Ã£o Projeto de DisposiÃ§Ã£o de Rejeito Filtrado PDE Norte_Copy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196428.57"/>
    <x v="42"/>
    <m/>
    <m/>
    <m/>
    <m/>
    <m/>
    <m/>
    <m/>
    <m/>
    <n v="196428.57"/>
    <m/>
    <m/>
    <m/>
    <m/>
    <m/>
    <m/>
  </r>
  <r>
    <x v="43"/>
    <x v="0"/>
    <s v="GFA"/>
    <s v="Roger/ Ainura"/>
    <s v="FL26 - GFA Parts and License discount - Flanders - EBITDA"/>
    <m/>
    <x v="0"/>
    <x v="0"/>
    <x v="0"/>
    <s v="Material"/>
    <s v="Directs"/>
    <s v="MINING EQUIPMENT"/>
    <x v="0"/>
    <x v="1"/>
    <s v="Budgeted"/>
    <d v="2026-01-01T00:00:00"/>
    <d v="2026-12-31T00:00:00"/>
    <m/>
    <n v="10037"/>
    <n v="56207.199999999997"/>
    <n v="638628.31058823504"/>
    <x v="43"/>
    <m/>
    <m/>
    <m/>
    <n v="159657.07764705876"/>
    <n v="159657.07764705876"/>
    <n v="159657.07764705876"/>
    <n v="159657.07764705876"/>
    <m/>
    <m/>
    <m/>
    <m/>
    <m/>
    <m/>
    <m/>
    <m/>
  </r>
  <r>
    <x v="44"/>
    <x v="2"/>
    <s v="Capex"/>
    <s v="Capex"/>
    <s v="Fornecimento de 48 medidores de vazÃ£o eletromagnÃ©ticos do projeto FlotaÃ§Ã£o Recleaner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191227.68"/>
    <x v="44"/>
    <m/>
    <m/>
    <m/>
    <m/>
    <m/>
    <m/>
    <m/>
    <m/>
    <n v="191227.68"/>
    <m/>
    <m/>
    <m/>
    <m/>
    <m/>
    <m/>
  </r>
  <r>
    <x v="45"/>
    <x v="0"/>
    <s v="GFA"/>
    <s v="Roger/ Ainura"/>
    <s v="FL26 - GFA Parts and License discount - Flanders - Value Protection"/>
    <m/>
    <x v="0"/>
    <x v="0"/>
    <x v="0"/>
    <s v="Material"/>
    <s v="Directs"/>
    <s v="MINING EQUIPMENT"/>
    <x v="0"/>
    <x v="0"/>
    <s v="Budgeted"/>
    <d v="2026-01-01T00:00:00"/>
    <d v="2026-12-31T00:00:00"/>
    <m/>
    <n v="30110.000000000004"/>
    <n v="168616"/>
    <n v="190468.09263157891"/>
    <x v="45"/>
    <m/>
    <m/>
    <m/>
    <n v="47617.023157894728"/>
    <n v="47617.023157894728"/>
    <n v="47617.023157894728"/>
    <n v="47617.023157894728"/>
    <m/>
    <m/>
    <m/>
    <m/>
    <m/>
    <m/>
    <m/>
    <m/>
  </r>
  <r>
    <x v="46"/>
    <x v="2"/>
    <s v="Capex"/>
    <s v="Capex"/>
    <s v="CO25 - ServiÃ§os de Apoio TÃ©cnico a Obra Filtragem_Copy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189986.43"/>
    <x v="46"/>
    <m/>
    <m/>
    <m/>
    <m/>
    <m/>
    <m/>
    <m/>
    <m/>
    <n v="189986.43"/>
    <m/>
    <m/>
    <m/>
    <m/>
    <m/>
    <m/>
  </r>
  <r>
    <x v="47"/>
    <x v="2"/>
    <s v="Capex"/>
    <s v="Capex"/>
    <s v="CO25 - Deep Tubular Wells Maintenance Negotiation"/>
    <m/>
    <x v="5"/>
    <x v="3"/>
    <x v="2"/>
    <s v="Services"/>
    <s v="Directs"/>
    <s v="Capex"/>
    <x v="1"/>
    <x v="0"/>
    <s v="Capex"/>
    <d v="2026-01-01T00:00:00"/>
    <d v="2026-12-01T00:00:00"/>
    <m/>
    <n v="0"/>
    <n v="0"/>
    <n v="166774.38"/>
    <x v="47"/>
    <m/>
    <m/>
    <m/>
    <m/>
    <m/>
    <m/>
    <m/>
    <m/>
    <n v="166774.38"/>
    <m/>
    <m/>
    <m/>
    <m/>
    <m/>
    <m/>
  </r>
  <r>
    <x v="48"/>
    <x v="0"/>
    <s v="Energia"/>
    <s v="Fernanda e Haroldo"/>
    <s v="CTG price reduction"/>
    <m/>
    <x v="7"/>
    <x v="5"/>
    <x v="1"/>
    <s v="Material"/>
    <s v="Indirects"/>
    <s v="UTILITIES"/>
    <x v="0"/>
    <x v="0"/>
    <s v="Budgeted"/>
    <d v="2026-01-01T00:00:00"/>
    <d v="2026-12-31T00:00:00"/>
    <m/>
    <n v="0"/>
    <n v="0"/>
    <n v="159557"/>
    <x v="48"/>
    <m/>
    <m/>
    <m/>
    <m/>
    <m/>
    <m/>
    <m/>
    <m/>
    <n v="159557"/>
    <m/>
    <m/>
    <m/>
    <m/>
    <m/>
    <m/>
  </r>
  <r>
    <x v="49"/>
    <x v="0"/>
    <s v="One shot"/>
    <s v="Spend (validar se há saving no insumo)"/>
    <s v="Saving por Isenção de Take or Pay - FLSmisth"/>
    <m/>
    <x v="14"/>
    <x v="2"/>
    <x v="0"/>
    <s v="Material"/>
    <s v="Directs"/>
    <m/>
    <x v="0"/>
    <x v="0"/>
    <s v="Un-budgeted"/>
    <d v="2026-01-01T00:00:00"/>
    <d v="2026-12-31T00:00:00"/>
    <m/>
    <n v="0"/>
    <n v="0"/>
    <n v="158928.571"/>
    <x v="49"/>
    <m/>
    <m/>
    <m/>
    <m/>
    <m/>
    <m/>
    <n v="158928.571"/>
    <m/>
    <m/>
    <m/>
    <m/>
    <m/>
    <m/>
    <m/>
    <m/>
  </r>
  <r>
    <x v="50"/>
    <x v="2"/>
    <s v="Capex"/>
    <s v="Capex"/>
    <s v="CO25 - Tailings Filtering Pumps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150156.25"/>
    <x v="50"/>
    <m/>
    <m/>
    <m/>
    <m/>
    <m/>
    <m/>
    <m/>
    <m/>
    <n v="150156.25"/>
    <m/>
    <m/>
    <m/>
    <m/>
    <m/>
    <m/>
  </r>
  <r>
    <x v="51"/>
    <x v="1"/>
    <s v="Contrato/pedido"/>
    <s v="Ketra"/>
    <s v="FL26 - 3 TAC  Unimar 4600028703 - Negociacao Reajuste 2026 (1,80%)"/>
    <m/>
    <x v="1"/>
    <x v="1"/>
    <x v="1"/>
    <s v="Services"/>
    <s v="Indirects"/>
    <s v="TRANSPORT &amp; LOGISTICS"/>
    <x v="0"/>
    <x v="0"/>
    <s v="Un-budgeted"/>
    <d v="2026-03-01T00:00:00"/>
    <d v="2027-09-30T00:00:00"/>
    <m/>
    <n v="17131.080370166663"/>
    <n v="95934.0500729333"/>
    <n v="176927.53214285718"/>
    <x v="51"/>
    <m/>
    <m/>
    <m/>
    <n v="0"/>
    <n v="0"/>
    <n v="0"/>
    <n v="0"/>
    <n v="0"/>
    <n v="0"/>
    <n v="176927.53214285718"/>
    <m/>
    <m/>
    <m/>
    <m/>
    <m/>
  </r>
  <r>
    <x v="52"/>
    <x v="0"/>
    <s v="Insumos"/>
    <s v="Bruna/Roger/Anna"/>
    <s v="FL26 - Michelin 830E Tyres additional discount negotiation"/>
    <m/>
    <x v="0"/>
    <x v="0"/>
    <x v="0"/>
    <s v="Material"/>
    <s v="Directs"/>
    <s v="MINING EQUIPMENT"/>
    <x v="0"/>
    <x v="1"/>
    <s v="Un-budgeted"/>
    <d v="2026-01-01T00:00:00"/>
    <d v="2026-12-31T00:00:00"/>
    <m/>
    <n v="634219.77499999979"/>
    <n v="3551630.7399999988"/>
    <n v="605957.18399999989"/>
    <x v="52"/>
    <m/>
    <m/>
    <m/>
    <m/>
    <m/>
    <m/>
    <m/>
    <m/>
    <m/>
    <n v="605957.18399999989"/>
    <m/>
    <m/>
    <m/>
    <m/>
    <m/>
  </r>
  <r>
    <x v="53"/>
    <x v="0"/>
    <s v="Contrato/pedido"/>
    <s v="Ketra - Vitor"/>
    <s v="D&amp;D - 490 Descaracterização de miscelânias dos contratos Metso"/>
    <m/>
    <x v="9"/>
    <x v="2"/>
    <x v="0"/>
    <s v="Material"/>
    <s v="Directs"/>
    <s v="PROCESSING"/>
    <x v="0"/>
    <x v="0"/>
    <s v="Un-budgeted"/>
    <d v="2026-01-01T00:00:00"/>
    <d v="2026-12-01T00:00:00"/>
    <m/>
    <n v="0"/>
    <n v="0"/>
    <n v="145336.33571428573"/>
    <x v="53"/>
    <m/>
    <m/>
    <m/>
    <n v="0"/>
    <n v="0"/>
    <n v="0"/>
    <n v="0"/>
    <n v="63502.485714285714"/>
    <n v="78208.192857142858"/>
    <n v="3625.6571428571433"/>
    <m/>
    <m/>
    <m/>
    <m/>
    <m/>
  </r>
  <r>
    <x v="54"/>
    <x v="2"/>
    <s v="Capex"/>
    <s v="Capex"/>
    <s v="C025 - Programa Deslocamento Humano PNO"/>
    <m/>
    <x v="5"/>
    <x v="3"/>
    <x v="2"/>
    <s v="Services"/>
    <s v="Indirects"/>
    <s v="Capex"/>
    <x v="1"/>
    <x v="2"/>
    <s v="Capex"/>
    <d v="2026-01-01T00:00:00"/>
    <d v="2026-12-01T00:00:00"/>
    <m/>
    <n v="0"/>
    <n v="0"/>
    <n v="120701.88"/>
    <x v="54"/>
    <m/>
    <m/>
    <m/>
    <m/>
    <m/>
    <m/>
    <m/>
    <m/>
    <n v="120701.88"/>
    <m/>
    <m/>
    <m/>
    <m/>
    <m/>
    <m/>
  </r>
  <r>
    <x v="55"/>
    <x v="2"/>
    <s v="Capex"/>
    <s v="Capex"/>
    <s v="CO25 - Drenagem do Canal PerifÃ©rico Cascalheira e Descidas A/B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113712.14"/>
    <x v="55"/>
    <m/>
    <m/>
    <m/>
    <m/>
    <m/>
    <m/>
    <m/>
    <m/>
    <n v="113712.14"/>
    <m/>
    <m/>
    <m/>
    <m/>
    <m/>
    <m/>
  </r>
  <r>
    <x v="56"/>
    <x v="0"/>
    <s v="Contrato/pedido"/>
    <s v="Ketra"/>
    <s v="FL26 - Spot Negotiations"/>
    <m/>
    <x v="8"/>
    <x v="6"/>
    <x v="0"/>
    <s v="Services"/>
    <s v="Directs"/>
    <m/>
    <x v="0"/>
    <x v="0"/>
    <s v="Un-budgeted"/>
    <d v="2026-01-01T00:00:00"/>
    <d v="2026-12-14T00:00:00"/>
    <m/>
    <n v="153714.28571428571"/>
    <n v="860799.99999999988"/>
    <n v="215441.10178571427"/>
    <x v="56"/>
    <m/>
    <m/>
    <m/>
    <n v="0"/>
    <n v="0"/>
    <n v="12907.682142857144"/>
    <n v="33147.892857142855"/>
    <n v="86012.798214285707"/>
    <n v="17009.548214285714"/>
    <n v="66363.180357142861"/>
    <m/>
    <m/>
    <m/>
    <m/>
    <m/>
  </r>
  <r>
    <x v="57"/>
    <x v="4"/>
    <s v="Contrato/pedido"/>
    <s v="Ketra"/>
    <s v="FT - 4600038047 - 12716522 - BID Personnel Transport IOB "/>
    <m/>
    <x v="1"/>
    <x v="1"/>
    <x v="1"/>
    <s v="Services"/>
    <s v="Indirects"/>
    <s v="FACILITIES MANAGEMENT"/>
    <x v="0"/>
    <x v="0"/>
    <s v="Un-budgeted"/>
    <d v="2026-01-01T00:00:00"/>
    <d v="2026-12-01T00:00:00"/>
    <m/>
    <n v="0"/>
    <n v="0"/>
    <n v="175647.53750000001"/>
    <x v="57"/>
    <m/>
    <m/>
    <m/>
    <m/>
    <m/>
    <m/>
    <m/>
    <m/>
    <m/>
    <n v="175647.53750000001"/>
    <m/>
    <m/>
    <m/>
    <m/>
    <m/>
  </r>
  <r>
    <x v="58"/>
    <x v="2"/>
    <s v="Capex"/>
    <s v="Capex"/>
    <s v="CO25 - CAPEX - ConstruÃ§Ã£o de ArmazÃ©m de Projeto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103134.82"/>
    <x v="58"/>
    <m/>
    <m/>
    <m/>
    <m/>
    <m/>
    <m/>
    <m/>
    <m/>
    <n v="103134.82"/>
    <m/>
    <m/>
    <m/>
    <m/>
    <m/>
    <m/>
  </r>
  <r>
    <x v="59"/>
    <x v="0"/>
    <s v="Contrato/pedido"/>
    <s v="Ketra"/>
    <s v="Correias transportadoras - CORREIAS MERCURIO SA INDUSTRIA"/>
    <m/>
    <x v="15"/>
    <x v="2"/>
    <x v="0"/>
    <s v="Material"/>
    <s v="Directs"/>
    <s v="PROCESSING"/>
    <x v="0"/>
    <x v="0"/>
    <s v="Un-budgeted"/>
    <d v="2026-01-01T00:00:00"/>
    <d v="2026-12-01T00:00:00"/>
    <m/>
    <n v="0"/>
    <n v="0"/>
    <n v="107486.4892857143"/>
    <x v="59"/>
    <m/>
    <m/>
    <m/>
    <n v="0"/>
    <n v="0"/>
    <n v="47743.305357142861"/>
    <n v="0"/>
    <n v="59743.183928571438"/>
    <n v="0"/>
    <m/>
    <m/>
    <m/>
    <m/>
    <m/>
    <m/>
  </r>
  <r>
    <x v="60"/>
    <x v="0"/>
    <s v="Contrato/pedido"/>
    <s v="Ketra"/>
    <s v="FL26 - Renegociacao Rejustes Mining"/>
    <m/>
    <x v="16"/>
    <x v="4"/>
    <x v="0"/>
    <s v="Services"/>
    <s v="Directs"/>
    <s v="MINING SERVICES"/>
    <x v="0"/>
    <x v="0"/>
    <s v="Un-budgeted"/>
    <d v="2026-01-01T00:00:00"/>
    <d v="2026-12-31T00:00:00"/>
    <m/>
    <n v="197142.85714285716"/>
    <n v="1104000"/>
    <n v="113274.69464285715"/>
    <x v="60"/>
    <m/>
    <m/>
    <m/>
    <n v="-8016.971428571429"/>
    <n v="13386.173214285716"/>
    <n v="-50266.867857142861"/>
    <n v="21231.925000000003"/>
    <n v="39790.266071428574"/>
    <n v="26204.814285714285"/>
    <n v="70945.355357142864"/>
    <m/>
    <m/>
    <m/>
    <m/>
    <m/>
  </r>
  <r>
    <x v="61"/>
    <x v="4"/>
    <s v="Contrato/pedido"/>
    <s v="Ketra"/>
    <s v="FT26 - Refeições IOB - Aditivo Sodexo 8,56%"/>
    <m/>
    <x v="17"/>
    <x v="1"/>
    <x v="1"/>
    <s v="Services"/>
    <s v="Indirects"/>
    <s v="HR SERVICES"/>
    <x v="0"/>
    <x v="0"/>
    <s v="Un-budgeted"/>
    <d v="2026-01-01T00:00:00"/>
    <d v="2026-12-01T00:00:00"/>
    <m/>
    <n v="0"/>
    <n v="0"/>
    <n v="337064.83214285714"/>
    <x v="61"/>
    <m/>
    <m/>
    <m/>
    <n v="102522.18571428572"/>
    <n v="45897.946428571435"/>
    <n v="46626.233928571433"/>
    <n v="0"/>
    <n v="2401.6678571428574"/>
    <n v="87765.685714285719"/>
    <n v="51851.112500000003"/>
    <m/>
    <m/>
    <m/>
    <m/>
    <m/>
  </r>
  <r>
    <x v="62"/>
    <x v="0"/>
    <s v="Contrato/pedido"/>
    <s v="Ketra"/>
    <s v="FL26 - Contratacao Novo Restaurante Filtragem - 13,88% - 11 meses"/>
    <n v="4600047050"/>
    <x v="17"/>
    <x v="1"/>
    <x v="1"/>
    <s v="Services"/>
    <s v="Indirects"/>
    <s v="HR SERVICES"/>
    <x v="0"/>
    <x v="0"/>
    <s v="Un-budgeted"/>
    <d v="2026-01-01T00:00:00"/>
    <d v="2026-10-31T00:00:00"/>
    <m/>
    <n v="330163.69047619047"/>
    <n v="1848916.6666666665"/>
    <n v="50354.625000000007"/>
    <x v="62"/>
    <m/>
    <m/>
    <m/>
    <n v="0"/>
    <n v="0"/>
    <n v="0"/>
    <n v="0"/>
    <n v="0"/>
    <n v="0"/>
    <n v="50354.625000000007"/>
    <m/>
    <m/>
    <m/>
    <m/>
    <m/>
  </r>
  <r>
    <x v="63"/>
    <x v="0"/>
    <s v="GFA"/>
    <s v="Guilherme/ Ainura"/>
    <s v="FL26 - GFA Parts and License discount - Modular - Value Protection"/>
    <m/>
    <x v="0"/>
    <x v="0"/>
    <x v="0"/>
    <s v="Material"/>
    <s v="Directs"/>
    <s v="MINING EQUIPMENT"/>
    <x v="0"/>
    <x v="0"/>
    <s v="Budgeted"/>
    <d v="2026-01-01T00:00:00"/>
    <d v="2026-12-31T00:00:00"/>
    <m/>
    <n v="79444"/>
    <n v="444886.39999999997"/>
    <n v="92784.532631579088"/>
    <x v="63"/>
    <m/>
    <m/>
    <m/>
    <m/>
    <m/>
    <m/>
    <n v="92784.532631579088"/>
    <m/>
    <m/>
    <m/>
    <m/>
    <m/>
    <m/>
    <m/>
    <m/>
  </r>
  <r>
    <x v="64"/>
    <x v="2"/>
    <s v="Capex"/>
    <s v="Capex"/>
    <s v="AquisiÃ§Ã£o de talhas elÃ©tricas e manuais e pontes rolantes para o Projeto FlotaÃ§Ã£o Recleaner_Copy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89700.13"/>
    <x v="64"/>
    <m/>
    <m/>
    <m/>
    <m/>
    <m/>
    <m/>
    <m/>
    <m/>
    <n v="89700.13"/>
    <m/>
    <m/>
    <m/>
    <m/>
    <m/>
    <m/>
  </r>
  <r>
    <x v="65"/>
    <x v="2"/>
    <s v="Capex"/>
    <s v="Capex"/>
    <s v="C025 - VÃ¡lvulas e Unidades HidrÃ¡ulicas Upgrade Espessador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88958.04"/>
    <x v="65"/>
    <m/>
    <m/>
    <m/>
    <m/>
    <m/>
    <m/>
    <m/>
    <m/>
    <n v="88958.04"/>
    <m/>
    <m/>
    <m/>
    <m/>
    <m/>
    <m/>
  </r>
  <r>
    <x v="66"/>
    <x v="4"/>
    <s v="Contrato/pedido"/>
    <s v="Ketra"/>
    <s v="FT - 4600038939/4600041496 - Full facilities IOB MG - 12806299-12792917-12803485-12504178"/>
    <m/>
    <x v="1"/>
    <x v="1"/>
    <x v="1"/>
    <s v="Services"/>
    <s v="Indirects"/>
    <s v="TRANSPORT &amp; LOGISTICS"/>
    <x v="0"/>
    <x v="0"/>
    <s v="Un-budgeted"/>
    <d v="2026-01-01T00:00:00"/>
    <d v="2026-12-01T00:00:00"/>
    <m/>
    <n v="0"/>
    <n v="0"/>
    <n v="270812.13749999995"/>
    <x v="66"/>
    <m/>
    <m/>
    <m/>
    <n v="20235.35892857143"/>
    <n v="63848.535714285717"/>
    <n v="0"/>
    <n v="35203.741071428572"/>
    <n v="62942.373214285712"/>
    <n v="49263.37857142857"/>
    <n v="39318.75"/>
    <m/>
    <m/>
    <m/>
    <m/>
    <m/>
  </r>
  <r>
    <x v="67"/>
    <x v="0"/>
    <s v="Contrato/pedido"/>
    <s v="Ketra"/>
    <s v="FL26 - Negociacoes menores Hendy"/>
    <m/>
    <x v="13"/>
    <x v="7"/>
    <x v="1"/>
    <s v="Services"/>
    <s v="Indirects"/>
    <m/>
    <x v="0"/>
    <x v="0"/>
    <s v="Un-budgeted"/>
    <d v="2026-01-01T00:00:00"/>
    <d v="2026-12-31T00:00:00"/>
    <m/>
    <n v="53148.843080357154"/>
    <n v="297633.52125000005"/>
    <n v="267522.59821428574"/>
    <x v="67"/>
    <m/>
    <m/>
    <m/>
    <n v="0"/>
    <n v="0"/>
    <n v="0"/>
    <n v="0"/>
    <n v="82557.364285714284"/>
    <n v="6027.9625000000005"/>
    <n v="178937.27142857146"/>
    <m/>
    <m/>
    <m/>
    <m/>
    <m/>
  </r>
  <r>
    <x v="68"/>
    <x v="2"/>
    <s v="Capex"/>
    <s v="Capex"/>
    <s v="CO25 - Operational Readness suport Filtragem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81822.679999999993"/>
    <x v="68"/>
    <m/>
    <m/>
    <m/>
    <m/>
    <m/>
    <m/>
    <m/>
    <m/>
    <n v="81822.679999999993"/>
    <m/>
    <m/>
    <m/>
    <m/>
    <m/>
    <m/>
  </r>
  <r>
    <x v="69"/>
    <x v="4"/>
    <s v="Contrato/pedido"/>
    <s v="Ketra"/>
    <s v="FT - EMIVE Security Services"/>
    <m/>
    <x v="1"/>
    <x v="1"/>
    <x v="1"/>
    <s v="Services"/>
    <s v="Indirects"/>
    <s v="TRANSPORT &amp; LOGISTICS"/>
    <x v="0"/>
    <x v="0"/>
    <s v="Un-budgeted"/>
    <d v="2026-01-01T00:00:00"/>
    <d v="2026-12-01T00:00:00"/>
    <m/>
    <n v="0"/>
    <n v="0"/>
    <n v="136457.95178571428"/>
    <x v="69"/>
    <m/>
    <m/>
    <m/>
    <n v="32626.612500000003"/>
    <n v="17580.387500000001"/>
    <n v="18111.142857142859"/>
    <n v="18111.142857142859"/>
    <n v="18111.142857142859"/>
    <n v="0"/>
    <n v="31917.523214285717"/>
    <m/>
    <m/>
    <m/>
    <m/>
    <m/>
  </r>
  <r>
    <x v="70"/>
    <x v="0"/>
    <s v="Contrato/pedido"/>
    <s v="Ketra"/>
    <s v="FL26 - Estudos meio biotico - Agroflor"/>
    <m/>
    <x v="10"/>
    <x v="7"/>
    <x v="1"/>
    <s v="Services"/>
    <s v="Indirects"/>
    <m/>
    <x v="0"/>
    <x v="0"/>
    <s v="Un-budgeted"/>
    <d v="2026-01-01T00:00:00"/>
    <d v="2026-04-30T00:00:00"/>
    <m/>
    <n v="29593.253968253968"/>
    <n v="165722.22222222222"/>
    <n v="112102.15357142857"/>
    <x v="70"/>
    <m/>
    <m/>
    <m/>
    <n v="23721.410714285714"/>
    <n v="15458.692857142856"/>
    <n v="7665.8160714285723"/>
    <n v="13239.435714285715"/>
    <n v="17749.373214285715"/>
    <n v="0"/>
    <n v="34267.425000000003"/>
    <m/>
    <m/>
    <m/>
    <m/>
    <m/>
  </r>
  <r>
    <x v="71"/>
    <x v="2"/>
    <s v="Capex"/>
    <s v="Capex"/>
    <s v="CO25 - Upgrade Espessador de Concentrados (Fornecimento CMD)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63294.46"/>
    <x v="71"/>
    <m/>
    <m/>
    <m/>
    <m/>
    <m/>
    <m/>
    <m/>
    <m/>
    <n v="63294.46"/>
    <m/>
    <m/>
    <m/>
    <m/>
    <m/>
    <m/>
  </r>
  <r>
    <x v="72"/>
    <x v="2"/>
    <s v="Capex"/>
    <s v="Capex"/>
    <s v="CO25 - Sistema de supressÃ£o de incÃªndio p/ nova frota 2025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58484.29"/>
    <x v="72"/>
    <m/>
    <m/>
    <m/>
    <m/>
    <m/>
    <m/>
    <m/>
    <m/>
    <n v="58484.29"/>
    <m/>
    <m/>
    <m/>
    <m/>
    <m/>
    <m/>
  </r>
  <r>
    <x v="73"/>
    <x v="0"/>
    <s v="Contrato/pedido"/>
    <s v="Ketra"/>
    <s v="FL26 - Tratamento de agua - H3M"/>
    <m/>
    <x v="10"/>
    <x v="7"/>
    <x v="1"/>
    <s v="Services"/>
    <s v="Indirects"/>
    <m/>
    <x v="0"/>
    <x v="0"/>
    <s v="Un-budgeted"/>
    <d v="2026-01-01T00:00:00"/>
    <d v="2026-03-30T00:00:00"/>
    <m/>
    <n v="5975.6696428571431"/>
    <n v="33463.75"/>
    <n v="24677.571428571431"/>
    <x v="73"/>
    <m/>
    <m/>
    <m/>
    <n v="6772.948214285715"/>
    <n v="12181.005357142858"/>
    <n v="5723.6178571428572"/>
    <m/>
    <m/>
    <m/>
    <m/>
    <m/>
    <m/>
    <m/>
    <m/>
    <m/>
  </r>
  <r>
    <x v="74"/>
    <x v="0"/>
    <s v="Insumos"/>
    <s v="Basket"/>
    <s v="Direct Materials Basket Items Below Budget 2026"/>
    <m/>
    <x v="18"/>
    <x v="2"/>
    <x v="0"/>
    <s v="Material"/>
    <s v="Directs"/>
    <s v="PROCESSING"/>
    <x v="0"/>
    <x v="1"/>
    <s v="Budgeted"/>
    <d v="2026-01-01T00:00:00"/>
    <d v="2026-12-01T00:00:00"/>
    <m/>
    <n v="0"/>
    <n v="0"/>
    <n v="331102.02"/>
    <x v="74"/>
    <m/>
    <m/>
    <m/>
    <m/>
    <m/>
    <m/>
    <m/>
    <m/>
    <m/>
    <n v="331102.02"/>
    <m/>
    <m/>
    <m/>
    <m/>
    <m/>
  </r>
  <r>
    <x v="75"/>
    <x v="4"/>
    <s v="Contrato/pedido"/>
    <s v="Ketra"/>
    <s v="FT26 - Benefits Management Savings"/>
    <n v="4600041950"/>
    <x v="17"/>
    <x v="1"/>
    <x v="1"/>
    <s v="Services"/>
    <s v="Indirects"/>
    <s v="HR SERVICES"/>
    <x v="0"/>
    <x v="0"/>
    <s v="Un-budgeted"/>
    <d v="2026-01-01T00:00:00"/>
    <d v="2026-12-01T00:00:00"/>
    <m/>
    <n v="0"/>
    <n v="0"/>
    <n v="47240.046428571426"/>
    <x v="75"/>
    <m/>
    <m/>
    <m/>
    <n v="17501.755357142858"/>
    <n v="9000.7321428571431"/>
    <n v="5521.5642857142857"/>
    <n v="7722.0928571428576"/>
    <n v="5120.0892857142862"/>
    <n v="1186.4107142857142"/>
    <n v="1187.4017857142858"/>
    <m/>
    <m/>
    <m/>
    <m/>
    <m/>
  </r>
  <r>
    <x v="76"/>
    <x v="0"/>
    <s v="Contrato/pedido"/>
    <s v="Ketra"/>
    <s v="FL26 - Auditoria de seguranca e eng.barragens - TEC3"/>
    <m/>
    <x v="13"/>
    <x v="7"/>
    <x v="1"/>
    <s v="Services"/>
    <s v="Indirects"/>
    <m/>
    <x v="0"/>
    <x v="0"/>
    <s v="Un-budgeted"/>
    <d v="2026-01-01T00:00:00"/>
    <d v="2026-09-30T00:00:00"/>
    <m/>
    <m/>
    <m/>
    <n v="32224.389285714286"/>
    <x v="76"/>
    <m/>
    <m/>
    <m/>
    <n v="9470.1732142857145"/>
    <n v="4745.6107142857145"/>
    <n v="2002.3142857142857"/>
    <n v="3608.1660714285717"/>
    <n v="3231.2392857142859"/>
    <n v="0"/>
    <n v="9166.8857142857141"/>
    <m/>
    <m/>
    <m/>
    <m/>
    <m/>
  </r>
  <r>
    <x v="77"/>
    <x v="2"/>
    <s v="Capex"/>
    <s v="Capex"/>
    <s v="Fornecimento de quadros e Centros de Controle de Motores (CCMs) de baixa tensÃ£o para a nova SubestaÃ§Ã£o da FlotaÃ§Ã£o Recleaner (0783â€‘SEâ€‘01)v2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41452.19"/>
    <x v="77"/>
    <m/>
    <m/>
    <m/>
    <m/>
    <m/>
    <m/>
    <m/>
    <m/>
    <n v="41452.19"/>
    <m/>
    <m/>
    <m/>
    <m/>
    <m/>
    <m/>
  </r>
  <r>
    <x v="78"/>
    <x v="0"/>
    <s v="Contrato/pedido"/>
    <s v="Ketra - material e contrato"/>
    <s v="FL26 - Tail Spend PARTEC Negotiation"/>
    <m/>
    <x v="8"/>
    <x v="6"/>
    <x v="0"/>
    <s v="Material"/>
    <s v="Directs"/>
    <m/>
    <x v="0"/>
    <x v="1"/>
    <s v="Un-budgeted"/>
    <d v="2026-01-01T00:00:00"/>
    <d v="2026-12-14T00:00:00"/>
    <m/>
    <n v="125000.00000000001"/>
    <n v="700000"/>
    <n v="200064.77678571429"/>
    <x v="78"/>
    <m/>
    <m/>
    <m/>
    <n v="29277.776785714286"/>
    <n v="0"/>
    <n v="0"/>
    <n v="32530.857142857141"/>
    <n v="65061.714285714283"/>
    <n v="73194.42857142858"/>
    <m/>
    <m/>
    <m/>
    <m/>
    <m/>
    <m/>
  </r>
  <r>
    <x v="79"/>
    <x v="0"/>
    <s v="Contrato/pedido"/>
    <s v="Ketra"/>
    <s v="Fornecimento refeições CMD - Aditivo Sodexo 3,13%"/>
    <m/>
    <x v="17"/>
    <x v="1"/>
    <x v="1"/>
    <s v="Services"/>
    <s v="Indirects"/>
    <s v="HR SERVICES"/>
    <x v="0"/>
    <x v="0"/>
    <s v="Budgeted"/>
    <d v="2026-01-01T00:00:00"/>
    <d v="2026-12-01T00:00:00"/>
    <m/>
    <n v="0"/>
    <n v="0"/>
    <n v="116350.06250000001"/>
    <x v="79"/>
    <m/>
    <m/>
    <m/>
    <n v="35389.223214285717"/>
    <n v="15843.328571428572"/>
    <n v="16094.723214285716"/>
    <n v="0"/>
    <n v="829.02321428571429"/>
    <n v="30295.485714285718"/>
    <n v="17898.278571428571"/>
    <m/>
    <m/>
    <m/>
    <m/>
    <m/>
  </r>
  <r>
    <x v="80"/>
    <x v="0"/>
    <s v="Contrato/pedido"/>
    <s v="Ketra"/>
    <s v="FL26 - Monitoramento sismografico - Carste"/>
    <m/>
    <x v="10"/>
    <x v="7"/>
    <x v="1"/>
    <s v="Services"/>
    <s v="Indirects"/>
    <m/>
    <x v="0"/>
    <x v="0"/>
    <s v="Un-budgeted"/>
    <d v="2026-01-01T00:00:00"/>
    <d v="2026-08-30T00:00:00"/>
    <m/>
    <n v="7848.99"/>
    <n v="43954.343999999997"/>
    <n v="36468.057142857142"/>
    <x v="80"/>
    <m/>
    <m/>
    <m/>
    <n v="6772.948214285715"/>
    <n v="12181.005357142858"/>
    <n v="5723.6178571428572"/>
    <n v="5885.4821428571431"/>
    <n v="5905.0035714285714"/>
    <n v="0"/>
    <m/>
    <m/>
    <m/>
    <m/>
    <m/>
    <m/>
  </r>
  <r>
    <x v="81"/>
    <x v="0"/>
    <s v="Contrato/pedido"/>
    <s v="Ketra"/>
    <s v="FL26 - Plantio e manutencao florestal - GHB"/>
    <m/>
    <x v="10"/>
    <x v="7"/>
    <x v="1"/>
    <s v="Services"/>
    <s v="Indirects"/>
    <m/>
    <x v="0"/>
    <x v="0"/>
    <s v="Un-budgeted"/>
    <d v="2026-01-01T00:00:00"/>
    <d v="2026-06-30T00:00:00"/>
    <m/>
    <n v="57678.571428571435"/>
    <n v="323000"/>
    <n v="46053.460714285713"/>
    <x v="81"/>
    <m/>
    <m/>
    <m/>
    <n v="12217.221428571429"/>
    <n v="7592.0482142857154"/>
    <n v="4712.1160714285716"/>
    <n v="4818.125"/>
    <n v="4934.4357142857143"/>
    <n v="4350.7089285714292"/>
    <n v="7428.8053571428572"/>
    <m/>
    <m/>
    <m/>
    <m/>
    <m/>
  </r>
  <r>
    <x v="82"/>
    <x v="2"/>
    <s v="Capex"/>
    <s v="Capex"/>
    <s v="CO25 - CAPEX Belt Conveyors for Tailings Filtration Plant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31830.18"/>
    <x v="82"/>
    <m/>
    <m/>
    <m/>
    <m/>
    <m/>
    <m/>
    <m/>
    <m/>
    <n v="31830.18"/>
    <m/>
    <m/>
    <m/>
    <m/>
    <m/>
    <m/>
  </r>
  <r>
    <x v="83"/>
    <x v="0"/>
    <s v="Insumos"/>
    <s v="Basket"/>
    <s v="FL26 - Primary Grinding Media Reduction – Share Adjustment"/>
    <m/>
    <x v="9"/>
    <x v="2"/>
    <x v="0"/>
    <s v="Material"/>
    <s v="Directs"/>
    <s v="PROCESSING"/>
    <x v="0"/>
    <x v="1"/>
    <s v="Un-budgeted"/>
    <d v="2026-05-01T00:00:00"/>
    <d v="2026-12-01T00:00:00"/>
    <m/>
    <n v="110416.66666666669"/>
    <n v="618333.33333333337"/>
    <n v="198226.51"/>
    <x v="83"/>
    <m/>
    <m/>
    <m/>
    <m/>
    <m/>
    <m/>
    <m/>
    <m/>
    <m/>
    <n v="198226.51"/>
    <m/>
    <m/>
    <m/>
    <m/>
    <m/>
  </r>
  <r>
    <x v="84"/>
    <x v="2"/>
    <s v="Capex"/>
    <s v="Capex"/>
    <s v="ServiÃ§os de supervisÃ£o, comissionamento e treinamento para Engenharia de IntegraÃ§Ã£o_v2"/>
    <m/>
    <x v="5"/>
    <x v="3"/>
    <x v="2"/>
    <s v="Services"/>
    <s v="Indirects"/>
    <s v="Capex"/>
    <x v="1"/>
    <x v="0"/>
    <s v="Capex"/>
    <d v="2026-01-01T00:00:00"/>
    <d v="2026-12-01T00:00:00"/>
    <m/>
    <n v="0"/>
    <n v="0"/>
    <n v="28303.64"/>
    <x v="84"/>
    <m/>
    <m/>
    <m/>
    <m/>
    <m/>
    <m/>
    <m/>
    <m/>
    <n v="28303.64"/>
    <m/>
    <m/>
    <m/>
    <m/>
    <m/>
    <m/>
  </r>
  <r>
    <x v="85"/>
    <x v="0"/>
    <s v="GFA"/>
    <s v="Guilherme/ Ainura"/>
    <s v="FL26 - GFA Parts and License discount - Modular - EBITDA"/>
    <m/>
    <x v="0"/>
    <x v="0"/>
    <x v="0"/>
    <s v="Material"/>
    <s v="Directs"/>
    <s v="MINING EQUIPMENT"/>
    <x v="0"/>
    <x v="1"/>
    <s v="Budgeted"/>
    <d v="2026-01-01T00:00:00"/>
    <d v="2026-12-31T00:00:00"/>
    <m/>
    <n v="79444"/>
    <n v="444886.39999999997"/>
    <n v="195878.45777777769"/>
    <x v="85"/>
    <m/>
    <m/>
    <m/>
    <m/>
    <m/>
    <m/>
    <n v="195878.45777777769"/>
    <m/>
    <m/>
    <m/>
    <m/>
    <m/>
    <m/>
    <m/>
    <m/>
  </r>
  <r>
    <x v="86"/>
    <x v="4"/>
    <s v="Contrato/pedido"/>
    <s v="Ketra"/>
    <s v="FT26 - Convênio Academias"/>
    <m/>
    <x v="17"/>
    <x v="1"/>
    <x v="1"/>
    <s v="Services"/>
    <s v="Indirects"/>
    <s v="HR SERVICES"/>
    <x v="0"/>
    <x v="0"/>
    <s v="Un-budgeted"/>
    <d v="2026-01-01T00:00:00"/>
    <d v="2026-12-01T00:00:00"/>
    <m/>
    <n v="0"/>
    <n v="0"/>
    <n v="137433.64642857143"/>
    <x v="86"/>
    <m/>
    <m/>
    <m/>
    <n v="27202.526785714286"/>
    <n v="12761.4"/>
    <n v="20481.93392857143"/>
    <n v="21832.35535714286"/>
    <n v="21759.310714285715"/>
    <n v="21963.583928571432"/>
    <n v="11432.535714285714"/>
    <m/>
    <m/>
    <m/>
    <m/>
    <m/>
  </r>
  <r>
    <x v="87"/>
    <x v="2"/>
    <s v="Capex"/>
    <s v="Capex"/>
    <s v="CO25 - Turnkey do AMD da Filtragem_Copy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21474.639999999999"/>
    <x v="87"/>
    <m/>
    <m/>
    <m/>
    <m/>
    <m/>
    <m/>
    <m/>
    <m/>
    <n v="21474.639999999999"/>
    <m/>
    <m/>
    <m/>
    <m/>
    <m/>
    <m/>
  </r>
  <r>
    <x v="88"/>
    <x v="2"/>
    <s v="Capex"/>
    <s v="Capex"/>
    <s v="CO25 - Montagem eletromecÃ¢nica Espessador CMD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21142.86"/>
    <x v="88"/>
    <m/>
    <m/>
    <m/>
    <m/>
    <m/>
    <m/>
    <m/>
    <m/>
    <n v="21142.86"/>
    <m/>
    <m/>
    <m/>
    <m/>
    <m/>
    <m/>
  </r>
  <r>
    <x v="89"/>
    <x v="1"/>
    <s v="Insumos"/>
    <s v="Basket"/>
    <s v="FL26 - Anti-Incrustante SJB"/>
    <m/>
    <x v="4"/>
    <x v="2"/>
    <x v="0"/>
    <s v="Material"/>
    <s v="Directs"/>
    <s v="PROCESSING"/>
    <x v="0"/>
    <x v="1"/>
    <s v="Budgeted"/>
    <d v="2026-01-01T00:00:00"/>
    <d v="2026-04-30T00:00:00"/>
    <m/>
    <n v="75634.344153421422"/>
    <n v="423552.32725915994"/>
    <n v="126955.05740973928"/>
    <x v="89"/>
    <m/>
    <m/>
    <m/>
    <m/>
    <m/>
    <m/>
    <m/>
    <m/>
    <m/>
    <n v="126955.05740973928"/>
    <m/>
    <m/>
    <m/>
    <m/>
    <m/>
  </r>
  <r>
    <x v="90"/>
    <x v="1"/>
    <s v="Contrato/pedido"/>
    <s v="Ketra"/>
    <s v="FL26  - Plano De Saúde IOB - 4,71% - 11 Meses"/>
    <n v="4600046360"/>
    <x v="17"/>
    <x v="1"/>
    <x v="1"/>
    <s v="Services"/>
    <s v="Indirects"/>
    <s v="HR SERVICES"/>
    <x v="0"/>
    <x v="0"/>
    <s v="Un-budgeted"/>
    <d v="2026-01-01T00:00:00"/>
    <d v="2026-11-01T00:00:00"/>
    <m/>
    <n v="396227.30714285717"/>
    <n v="2218872.92"/>
    <n v="258617.43214285714"/>
    <x v="90"/>
    <m/>
    <m/>
    <m/>
    <n v="41363.303571428572"/>
    <n v="42040.35"/>
    <n v="41473.942857142858"/>
    <n v="42452.725000000006"/>
    <n v="44169.676785714291"/>
    <n v="59.516071428571436"/>
    <n v="47057.917857142864"/>
    <m/>
    <m/>
    <m/>
    <m/>
    <m/>
  </r>
  <r>
    <x v="91"/>
    <x v="1"/>
    <s v="Contrato/pedido"/>
    <s v="Ketra"/>
    <s v="FL26 - 4600039552-12023698 - BID Surveillance Services - IOB"/>
    <m/>
    <x v="1"/>
    <x v="1"/>
    <x v="1"/>
    <s v="Services"/>
    <s v="Indirects"/>
    <s v="FACILITIES MANAGEMENT"/>
    <x v="0"/>
    <x v="0"/>
    <s v="Budgeted"/>
    <d v="2026-01-01T00:00:00"/>
    <d v="2026-03-31T00:00:00"/>
    <m/>
    <m/>
    <m/>
    <n v="18560.946428571428"/>
    <x v="91"/>
    <m/>
    <m/>
    <m/>
    <n v="8955.0107142857141"/>
    <n v="6220.1517857142862"/>
    <n v="3030.4696428571433"/>
    <n v="0"/>
    <n v="355.31428571428575"/>
    <n v="0"/>
    <m/>
    <m/>
    <m/>
    <m/>
    <m/>
    <m/>
  </r>
  <r>
    <x v="92"/>
    <x v="4"/>
    <s v="Contrato/pedido"/>
    <s v="Ketra"/>
    <s v="FT - 4600039552-12023698 - BID Surveillance Services - IOB "/>
    <m/>
    <x v="1"/>
    <x v="1"/>
    <x v="1"/>
    <s v="Services"/>
    <s v="Indirects"/>
    <s v="FACILITIES MANAGEMENT"/>
    <x v="0"/>
    <x v="0"/>
    <s v="Un-budgeted"/>
    <d v="2026-01-01T00:00:00"/>
    <d v="2026-12-01T00:00:00"/>
    <m/>
    <n v="0"/>
    <n v="0"/>
    <n v="25075.510714285716"/>
    <x v="92"/>
    <m/>
    <m/>
    <m/>
    <n v="0"/>
    <n v="0"/>
    <n v="9899.2464285714286"/>
    <n v="5201.2482142857152"/>
    <n v="10.896428571428572"/>
    <n v="9964.1196428571438"/>
    <m/>
    <m/>
    <m/>
    <m/>
    <m/>
    <m/>
  </r>
  <r>
    <x v="93"/>
    <x v="0"/>
    <s v="Contrato/pedido"/>
    <s v="Ketra"/>
    <s v="FL26 - Saving baseline novo contrato refeicões SJB - Contrato 4600037821 - 12%"/>
    <n v="4600037821"/>
    <x v="17"/>
    <x v="1"/>
    <x v="1"/>
    <s v="Services"/>
    <s v="Indirects"/>
    <s v="HR SERVICES"/>
    <x v="0"/>
    <x v="0"/>
    <s v="Un-budgeted"/>
    <d v="2026-01-01T00:00:00"/>
    <d v="2026-08-31T00:00:00"/>
    <m/>
    <n v="249018.72857142857"/>
    <n v="1394504.88"/>
    <n v="17407.800000000003"/>
    <x v="93"/>
    <m/>
    <m/>
    <m/>
    <n v="11843.95"/>
    <n v="0"/>
    <n v="5563.85"/>
    <n v="0"/>
    <n v="0"/>
    <n v="0"/>
    <m/>
    <m/>
    <m/>
    <m/>
    <m/>
    <m/>
  </r>
  <r>
    <x v="94"/>
    <x v="4"/>
    <s v="Contrato/pedido"/>
    <s v="Ketra"/>
    <s v="FT - 4600039735 - 12760499 - BID Port Personnel Transport with Ferroport"/>
    <m/>
    <x v="1"/>
    <x v="1"/>
    <x v="1"/>
    <s v="Services"/>
    <s v="Indirects"/>
    <s v="FACILITIES MANAGEMENT"/>
    <x v="0"/>
    <x v="0"/>
    <s v="Un-budgeted"/>
    <d v="2026-01-01T00:00:00"/>
    <d v="2026-12-01T00:00:00"/>
    <m/>
    <n v="0"/>
    <n v="0"/>
    <n v="14412.533928571429"/>
    <x v="94"/>
    <m/>
    <m/>
    <m/>
    <n v="0"/>
    <n v="0"/>
    <n v="3312.9053571428576"/>
    <n v="0"/>
    <n v="5547.6910714285714"/>
    <n v="0"/>
    <n v="5551.9375"/>
    <m/>
    <m/>
    <m/>
    <m/>
    <m/>
  </r>
  <r>
    <x v="95"/>
    <x v="4"/>
    <s v="Contrato/pedido"/>
    <s v="Ketra"/>
    <s v="FT26 - Convênio Escolar Cmd "/>
    <m/>
    <x v="17"/>
    <x v="1"/>
    <x v="1"/>
    <s v="Services"/>
    <s v="Indirects"/>
    <s v="HR SERVICES"/>
    <x v="0"/>
    <x v="0"/>
    <s v="Un-budgeted"/>
    <d v="2026-01-01T00:00:00"/>
    <d v="2026-12-01T00:00:00"/>
    <m/>
    <n v="0"/>
    <n v="0"/>
    <n v="16560.783928571429"/>
    <x v="95"/>
    <m/>
    <m/>
    <m/>
    <n v="0"/>
    <n v="4845.9392857142857"/>
    <n v="2545.346428571429"/>
    <n v="2037.3517857142858"/>
    <n v="2370.2910714285713"/>
    <n v="0"/>
    <n v="4761.8553571428574"/>
    <m/>
    <m/>
    <m/>
    <m/>
    <m/>
  </r>
  <r>
    <x v="96"/>
    <x v="0"/>
    <s v="Contrato/pedido"/>
    <s v="Ketra"/>
    <s v="FL26 - Servicos de QAQC PDER Norte"/>
    <m/>
    <x v="13"/>
    <x v="7"/>
    <x v="1"/>
    <s v="Services"/>
    <s v="Indirects"/>
    <m/>
    <x v="0"/>
    <x v="0"/>
    <s v="Un-budgeted"/>
    <d v="2026-01-01T00:00:00"/>
    <d v="2026-12-31T00:00:00"/>
    <m/>
    <n v="44158.482142857145"/>
    <n v="247287.5"/>
    <n v="13699.153571428573"/>
    <x v="96"/>
    <m/>
    <m/>
    <m/>
    <n v="0"/>
    <n v="0"/>
    <n v="0"/>
    <n v="0"/>
    <n v="4678.4321428571429"/>
    <n v="4766.8571428571431"/>
    <n v="4253.8642857142859"/>
    <m/>
    <m/>
    <m/>
    <m/>
    <m/>
  </r>
  <r>
    <x v="97"/>
    <x v="0"/>
    <s v="Contrato/pedido"/>
    <s v="Ketra - material e contrato"/>
    <s v="FL26 - Tail Spend Negotiation (Nortel)"/>
    <m/>
    <x v="19"/>
    <x v="6"/>
    <x v="0"/>
    <s v="Material"/>
    <s v="Directs"/>
    <m/>
    <x v="0"/>
    <x v="1"/>
    <s v="Un-budgeted"/>
    <d v="2026-01-01T00:00:00"/>
    <d v="2026-12-14T00:00:00"/>
    <m/>
    <n v="109583.93249999998"/>
    <n v="613670.02199999988"/>
    <n v="113178.05892857144"/>
    <x v="97"/>
    <m/>
    <m/>
    <m/>
    <n v="16425.487499999999"/>
    <n v="20132.380357142858"/>
    <n v="8768.0517857142859"/>
    <n v="25218.212500000001"/>
    <n v="18742.096428571429"/>
    <n v="6980.3196428571437"/>
    <n v="16911.510714285716"/>
    <m/>
    <m/>
    <m/>
    <m/>
    <m/>
  </r>
  <r>
    <x v="98"/>
    <x v="1"/>
    <s v="Contrato/pedido"/>
    <s v="Ketra"/>
    <s v="FL26 - Comunicacao CasaSanto - negociacao de reajuste"/>
    <m/>
    <x v="20"/>
    <x v="7"/>
    <x v="1"/>
    <s v="Services"/>
    <s v="Indirects"/>
    <m/>
    <x v="0"/>
    <x v="0"/>
    <s v="Un-budgeted"/>
    <d v="2026-01-01T00:00:00"/>
    <d v="2026-12-31T00:00:00"/>
    <m/>
    <n v="23291.146125000003"/>
    <n v="130430.4183"/>
    <n v="11454.667857142857"/>
    <x v="98"/>
    <m/>
    <m/>
    <m/>
    <n v="4971.6875"/>
    <n v="1977.5160714285716"/>
    <n v="0"/>
    <n v="0"/>
    <n v="0"/>
    <n v="0"/>
    <n v="4505.4642857142853"/>
    <m/>
    <m/>
    <m/>
    <m/>
    <m/>
  </r>
  <r>
    <x v="99"/>
    <x v="0"/>
    <s v="E-mail Nortel"/>
    <s v="Daniel"/>
    <s v="FL26 - Rebate Nortel - IOB"/>
    <m/>
    <x v="19"/>
    <x v="6"/>
    <x v="0"/>
    <s v="Material"/>
    <s v="Directs"/>
    <m/>
    <x v="0"/>
    <x v="1"/>
    <s v="Un-budgeted"/>
    <d v="2026-01-01T00:00:00"/>
    <d v="2026-12-14T00:00:00"/>
    <m/>
    <n v="60000.000000000007"/>
    <n v="336000"/>
    <n v="76169.772142857153"/>
    <x v="99"/>
    <m/>
    <m/>
    <m/>
    <n v="10881.395"/>
    <n v="10881.395"/>
    <n v="10881.39642857143"/>
    <n v="10881.39642857143"/>
    <n v="10881.39642857143"/>
    <n v="10881.39642857143"/>
    <n v="10881.39642857143"/>
    <m/>
    <m/>
    <m/>
    <m/>
    <m/>
  </r>
  <r>
    <x v="100"/>
    <x v="0"/>
    <s v="Contrato/pedido"/>
    <s v="Ketra"/>
    <s v="Deflação e Fornecimento de peças sobressalentes - OEM - FLS"/>
    <m/>
    <x v="14"/>
    <x v="2"/>
    <x v="0"/>
    <s v="Material"/>
    <s v="Directs"/>
    <s v="PROCESSING"/>
    <x v="0"/>
    <x v="0"/>
    <s v="Un-budgeted"/>
    <d v="2026-01-01T00:00:00"/>
    <d v="2026-12-01T00:00:00"/>
    <m/>
    <n v="0"/>
    <n v="0"/>
    <n v="3728.9749999999999"/>
    <x v="100"/>
    <m/>
    <m/>
    <m/>
    <n v="0"/>
    <n v="0"/>
    <n v="0"/>
    <n v="0"/>
    <n v="606.63750000000005"/>
    <n v="54.589285714285715"/>
    <n v="3067.7482142857143"/>
    <m/>
    <m/>
    <m/>
    <m/>
    <m/>
  </r>
  <r>
    <x v="101"/>
    <x v="0"/>
    <s v="Contrato/pedido"/>
    <s v="Ketra"/>
    <s v="FL26 - Servicos de engenharia - CEMEF"/>
    <m/>
    <x v="13"/>
    <x v="7"/>
    <x v="1"/>
    <s v="Services"/>
    <s v="Indirects"/>
    <m/>
    <x v="0"/>
    <x v="1"/>
    <s v="Un-budgeted"/>
    <d v="2026-01-01T00:00:00"/>
    <d v="2026-10-30T00:00:00"/>
    <m/>
    <n v="51236.489012896825"/>
    <n v="286924.33847222221"/>
    <n v="54744.321428571435"/>
    <x v="101"/>
    <m/>
    <m/>
    <m/>
    <n v="12563.041071428572"/>
    <n v="6590.7285714285717"/>
    <n v="6938.1517857142862"/>
    <n v="0"/>
    <n v="14029.62142857143"/>
    <n v="0"/>
    <n v="14622.778571428573"/>
    <m/>
    <m/>
    <m/>
    <m/>
    <m/>
  </r>
  <r>
    <x v="102"/>
    <x v="0"/>
    <s v="Contrato/pedido"/>
    <s v="Ketra"/>
    <s v="FL26 - Gerenciamento e Fiscalizacao - GTP"/>
    <m/>
    <x v="13"/>
    <x v="7"/>
    <x v="1"/>
    <s v="Services"/>
    <s v="Indirects"/>
    <m/>
    <x v="0"/>
    <x v="0"/>
    <s v="Un-budgeted"/>
    <d v="2026-03-02T00:00:00"/>
    <d v="2026-12-01T00:00:00"/>
    <m/>
    <n v="39393.633850446437"/>
    <n v="220604.34956250002"/>
    <n v="16291.205357142859"/>
    <x v="102"/>
    <m/>
    <m/>
    <m/>
    <n v="0"/>
    <n v="0"/>
    <n v="0"/>
    <n v="0"/>
    <n v="0"/>
    <n v="10323.041071428572"/>
    <n v="5968.1642857142861"/>
    <m/>
    <m/>
    <m/>
    <m/>
    <m/>
  </r>
  <r>
    <x v="103"/>
    <x v="4"/>
    <s v="Contrato/pedido"/>
    <s v="Ketra"/>
    <s v="FT - 4600038940/4600041527 - Full Facilities IOB - Port - 12787888"/>
    <m/>
    <x v="1"/>
    <x v="1"/>
    <x v="1"/>
    <s v="Services"/>
    <s v="Indirects"/>
    <s v="FACILITIES MANAGEMENT"/>
    <x v="0"/>
    <x v="0"/>
    <s v="Un-budgeted"/>
    <d v="2026-01-01T00:00:00"/>
    <d v="2026-12-01T00:00:00"/>
    <m/>
    <n v="0"/>
    <n v="0"/>
    <n v="3863.264285714286"/>
    <x v="103"/>
    <m/>
    <m/>
    <m/>
    <n v="3863.264285714286"/>
    <n v="0"/>
    <n v="0"/>
    <n v="0"/>
    <n v="0"/>
    <n v="0"/>
    <m/>
    <m/>
    <m/>
    <m/>
    <m/>
    <m/>
  </r>
  <r>
    <x v="81"/>
    <x v="0"/>
    <s v="Contrato/pedido"/>
    <s v="Ketra"/>
    <s v="FL26 - Plantio e manutencao florestal - GHB"/>
    <m/>
    <x v="10"/>
    <x v="7"/>
    <x v="1"/>
    <s v="Services"/>
    <s v="Indirects"/>
    <m/>
    <x v="0"/>
    <x v="1"/>
    <s v="Un-budgeted"/>
    <d v="2026-01-01T00:00:00"/>
    <d v="2026-06-30T00:00:00"/>
    <m/>
    <m/>
    <m/>
    <n v="46053.460714285713"/>
    <x v="81"/>
    <m/>
    <m/>
    <m/>
    <n v="12217.221428571429"/>
    <n v="7592.0482142857154"/>
    <n v="4712.1160714285716"/>
    <n v="4818.125"/>
    <n v="4934.4357142857143"/>
    <n v="4350.7089285714292"/>
    <n v="7428.8053571428572"/>
    <m/>
    <m/>
    <m/>
    <m/>
    <m/>
  </r>
  <r>
    <x v="104"/>
    <x v="0"/>
    <s v="Contrato/pedido"/>
    <s v="Ketra"/>
    <s v="FL26 - Corretora de beneficios  - 4600041950 - Reducao Orcamento 41%"/>
    <n v="4600041950"/>
    <x v="17"/>
    <x v="1"/>
    <x v="1"/>
    <s v="Services"/>
    <s v="Indirects"/>
    <s v="HR SERVICES"/>
    <x v="0"/>
    <x v="1"/>
    <s v="Budgeted"/>
    <d v="2026-01-01T00:00:00"/>
    <d v="2026-07-31T00:00:00"/>
    <m/>
    <n v="7671.3584464285723"/>
    <n v="42959.607300000003"/>
    <n v="41318.692857142858"/>
    <x v="104"/>
    <m/>
    <m/>
    <m/>
    <n v="1919.0803571428573"/>
    <n v="1919.0803571428573"/>
    <n v="8941.5535714285706"/>
    <n v="7134.7446428571429"/>
    <n v="7134.7446428571429"/>
    <n v="7134.7446428571429"/>
    <n v="7134.7446428571429"/>
    <m/>
    <m/>
    <m/>
    <m/>
    <m/>
  </r>
  <r>
    <x v="105"/>
    <x v="0"/>
    <s v="GFA"/>
    <s v="Jorge Mauricio"/>
    <s v="FL26 - Parts discount from CAT GFA - CAT"/>
    <m/>
    <x v="0"/>
    <x v="0"/>
    <x v="0"/>
    <s v="Material"/>
    <s v="Directs"/>
    <s v="MINING EQUIPMENT"/>
    <x v="0"/>
    <x v="1"/>
    <s v="Budgeted"/>
    <d v="2026-01-01T00:00:00"/>
    <d v="2026-12-31T00:00:00"/>
    <m/>
    <n v="254997.81354626897"/>
    <n v="1427987.7558591061"/>
    <n v="26110.62189744872"/>
    <x v="105"/>
    <m/>
    <m/>
    <m/>
    <m/>
    <n v="3388.5449772160446"/>
    <n v="1779.0754402085247"/>
    <n v="3021.0473681249678"/>
    <n v="9001.1766230206795"/>
    <n v="8920.7774888785007"/>
    <m/>
    <m/>
    <m/>
    <m/>
    <m/>
    <m/>
  </r>
  <r>
    <x v="106"/>
    <x v="4"/>
    <s v="Contrato/pedido"/>
    <s v="Ketra"/>
    <s v="FT26 - Plano De Saúde IOB - Odontologico 3% "/>
    <n v="4600042476"/>
    <x v="17"/>
    <x v="1"/>
    <x v="1"/>
    <s v="Services"/>
    <s v="Indirects"/>
    <s v="HR SERVICES"/>
    <x v="0"/>
    <x v="0"/>
    <s v="Un-budgeted"/>
    <d v="2026-01-01T00:00:00"/>
    <d v="2026-12-01T00:00:00"/>
    <m/>
    <n v="0"/>
    <n v="0"/>
    <n v="55363.812594879782"/>
    <x v="106"/>
    <m/>
    <m/>
    <m/>
    <m/>
    <n v="12340.101785714287"/>
    <n v="11815.837500000001"/>
    <n v="9646.0625"/>
    <n v="10280.098230028261"/>
    <n v="11281.712579137227"/>
    <m/>
    <m/>
    <m/>
    <m/>
    <m/>
    <m/>
  </r>
  <r>
    <x v="107"/>
    <x v="0"/>
    <s v="GFA"/>
    <s v="Roger/Ana Abaga"/>
    <s v="FL26 - Michelin GFA market share discount - Michelin"/>
    <m/>
    <x v="0"/>
    <x v="0"/>
    <x v="0"/>
    <s v="Material"/>
    <s v="Directs"/>
    <s v="MINING EQUIPMENT"/>
    <x v="0"/>
    <x v="0"/>
    <s v="Budgeted"/>
    <d v="2026-01-01T00:00:00"/>
    <d v="2026-12-31T00:00:00"/>
    <m/>
    <n v="1617612.0336000004"/>
    <n v="9058627.3881600015"/>
    <n v="0"/>
    <x v="11"/>
    <m/>
    <m/>
    <m/>
    <m/>
    <m/>
    <m/>
    <m/>
    <m/>
    <m/>
    <m/>
    <m/>
    <m/>
    <m/>
    <m/>
    <m/>
  </r>
  <r>
    <x v="108"/>
    <x v="1"/>
    <s v="Payment terms"/>
    <s v="Payment terms"/>
    <s v="FL26 - Petronas - IOB_Lubricants Bidding Process - Payment Terms"/>
    <m/>
    <x v="2"/>
    <x v="0"/>
    <x v="0"/>
    <s v="Material"/>
    <s v="Directs"/>
    <s v="MINING COMMODITIES"/>
    <x v="0"/>
    <x v="0"/>
    <s v="Un-budgeted"/>
    <d v="2026-01-01T00:00:00"/>
    <d v="2026-12-01T00:00:00"/>
    <s v="Payment terms"/>
    <n v="414979.78035714291"/>
    <n v="2323886.77"/>
    <n v="0"/>
    <x v="11"/>
    <m/>
    <m/>
    <m/>
    <m/>
    <m/>
    <m/>
    <m/>
    <m/>
    <m/>
    <m/>
    <m/>
    <m/>
    <m/>
    <m/>
    <m/>
  </r>
  <r>
    <x v="109"/>
    <x v="0"/>
    <s v="Contrato/pedido"/>
    <s v="Ketra"/>
    <s v="FL26 - Modulos termoacústicos OPUS"/>
    <m/>
    <x v="13"/>
    <x v="7"/>
    <x v="1"/>
    <s v="Services"/>
    <s v="Indirects"/>
    <m/>
    <x v="0"/>
    <x v="0"/>
    <s v="Un-budgeted"/>
    <d v="2026-01-01T00:00:00"/>
    <d v="2026-08-31T00:00:00"/>
    <m/>
    <n v="104027.07152777778"/>
    <n v="582551.60055555555"/>
    <n v="28413.041071428572"/>
    <x v="107"/>
    <m/>
    <m/>
    <m/>
    <n v="19652.842857142859"/>
    <n v="6643.3910714285712"/>
    <n v="0"/>
    <n v="0"/>
    <n v="1921.6107142857145"/>
    <n v="0"/>
    <n v="195.19642857142856"/>
    <m/>
    <m/>
    <m/>
    <m/>
    <m/>
  </r>
  <r>
    <x v="110"/>
    <x v="4"/>
    <s v="Contrato/pedido"/>
    <s v="Ketra"/>
    <s v="FT26 - Saving baseline novo contrato refeicões SJB - Contrato 4600037821 - 12% "/>
    <n v="4600037821"/>
    <x v="17"/>
    <x v="1"/>
    <x v="1"/>
    <s v="Services"/>
    <s v="Indirects"/>
    <s v="HR SERVICES"/>
    <x v="0"/>
    <x v="0"/>
    <s v="Un-budgeted"/>
    <d v="2026-01-01T00:00:00"/>
    <d v="2026-12-01T00:00:00"/>
    <m/>
    <n v="0"/>
    <n v="0"/>
    <n v="19058.207142857143"/>
    <x v="108"/>
    <m/>
    <m/>
    <m/>
    <n v="0"/>
    <n v="0"/>
    <n v="0"/>
    <n v="5611.760714285715"/>
    <n v="0"/>
    <n v="7884.2089285714292"/>
    <n v="5562.2375000000002"/>
    <m/>
    <m/>
    <m/>
    <m/>
    <m/>
  </r>
  <r>
    <x v="111"/>
    <x v="1"/>
    <s v="Contrato/pedido"/>
    <s v="Ketra"/>
    <s v="FL26 - Plano De Saúde IOB - Odontologico 3% "/>
    <n v="4600042476"/>
    <x v="17"/>
    <x v="1"/>
    <x v="1"/>
    <s v="Services"/>
    <s v="Indirects"/>
    <s v="HR SERVICES"/>
    <x v="0"/>
    <x v="0"/>
    <s v="Un-budgeted"/>
    <d v="2026-01-01T00:00:00"/>
    <d v="2026-12-01T00:00:00"/>
    <m/>
    <n v="0"/>
    <n v="0"/>
    <n v="13247.470282916236"/>
    <x v="109"/>
    <m/>
    <m/>
    <m/>
    <n v="13247.470282916236"/>
    <m/>
    <m/>
    <m/>
    <m/>
    <m/>
    <m/>
    <m/>
    <m/>
    <m/>
    <m/>
    <m/>
  </r>
  <r>
    <x v="91"/>
    <x v="1"/>
    <s v="Contrato/pedido"/>
    <s v="Ketra"/>
    <s v="FL26 - 4600039552-12023698 - BID Surveillance Services - IOB"/>
    <m/>
    <x v="1"/>
    <x v="1"/>
    <x v="1"/>
    <s v="Services"/>
    <s v="Indirects"/>
    <s v="FACILITIES MANAGEMENT"/>
    <x v="0"/>
    <x v="1"/>
    <s v="Budgeted"/>
    <d v="2026-01-01T00:00:00"/>
    <d v="2026-03-31T00:00:00"/>
    <m/>
    <n v="22913.825415142073"/>
    <n v="128317.4223247956"/>
    <n v="17612.730357142857"/>
    <x v="110"/>
    <m/>
    <m/>
    <m/>
    <n v="9460.7107142857149"/>
    <n v="5976.033928571429"/>
    <n v="1947.6303571428573"/>
    <n v="0"/>
    <n v="228.35535714285714"/>
    <n v="0"/>
    <m/>
    <m/>
    <m/>
    <m/>
    <m/>
    <m/>
  </r>
  <r>
    <x v="112"/>
    <x v="0"/>
    <s v="Contrato/pedido"/>
    <s v="Ketra"/>
    <s v="FL26 - Analises estruturais - CEMEF"/>
    <m/>
    <x v="13"/>
    <x v="7"/>
    <x v="1"/>
    <s v="Services"/>
    <s v="Indirects"/>
    <m/>
    <x v="0"/>
    <x v="1"/>
    <s v="Un-budgeted"/>
    <d v="2026-01-01T00:00:00"/>
    <d v="2026-08-31T00:00:00"/>
    <m/>
    <n v="17833.741924603171"/>
    <n v="99868.954777777748"/>
    <n v="17612.730357142857"/>
    <x v="110"/>
    <m/>
    <m/>
    <m/>
    <n v="9460.7107142857149"/>
    <n v="5976.033928571429"/>
    <n v="1947.6303571428573"/>
    <n v="0"/>
    <n v="228.35535714285714"/>
    <n v="0"/>
    <n v="0"/>
    <m/>
    <m/>
    <m/>
    <m/>
    <m/>
  </r>
  <r>
    <x v="113"/>
    <x v="1"/>
    <s v="Contrato/pedido"/>
    <s v="Ketra"/>
    <s v="FL26 - 4600038940/4600041527  - Full Facilities  IOB - Port - 12787888"/>
    <m/>
    <x v="1"/>
    <x v="1"/>
    <x v="1"/>
    <s v="Services"/>
    <s v="Indirects"/>
    <s v="FACILITIES MANAGEMENT"/>
    <x v="0"/>
    <x v="1"/>
    <s v="Un-budgeted"/>
    <d v="2026-01-01T00:00:00"/>
    <d v="2026-01-31T00:00:00"/>
    <m/>
    <n v="2743.7497789115605"/>
    <n v="15364.998761904737"/>
    <n v="6603.5249999999996"/>
    <x v="111"/>
    <m/>
    <m/>
    <m/>
    <n v="6603.5249999999996"/>
    <n v="0"/>
    <n v="0"/>
    <n v="0"/>
    <n v="0"/>
    <n v="0"/>
    <m/>
    <m/>
    <m/>
    <m/>
    <m/>
    <m/>
  </r>
  <r>
    <x v="114"/>
    <x v="0"/>
    <s v="Contrato/pedido"/>
    <s v="Ketra"/>
    <s v="Serviços de Avaliação Psicológica - Recrutamento e Seleção, e DHO"/>
    <m/>
    <x v="21"/>
    <x v="1"/>
    <x v="1"/>
    <s v="Services"/>
    <s v="Indirects"/>
    <s v="FACILITIES MANAGEMENT"/>
    <x v="0"/>
    <x v="1"/>
    <s v="Un-budgeted"/>
    <d v="2026-01-01T00:00:00"/>
    <d v="2026-12-01T00:00:00"/>
    <m/>
    <n v="0"/>
    <n v="0"/>
    <n v="2087.3571428571431"/>
    <x v="112"/>
    <m/>
    <m/>
    <m/>
    <n v="0"/>
    <n v="0"/>
    <n v="0"/>
    <n v="2087.3571428571431"/>
    <n v="0"/>
    <n v="0"/>
    <m/>
    <m/>
    <m/>
    <m/>
    <m/>
    <m/>
  </r>
  <r>
    <x v="115"/>
    <x v="0"/>
    <s v="Contrato/pedido"/>
    <s v="Ketra"/>
    <s v="FL26 - Analises estruturais - KOT"/>
    <m/>
    <x v="13"/>
    <x v="7"/>
    <x v="1"/>
    <s v="Services"/>
    <s v="Indirects"/>
    <m/>
    <x v="0"/>
    <x v="0"/>
    <s v="Un-budgeted"/>
    <d v="2026-01-01T00:00:00"/>
    <d v="2026-08-31T00:00:00"/>
    <m/>
    <m/>
    <m/>
    <n v="728.90178571428578"/>
    <x v="113"/>
    <m/>
    <m/>
    <m/>
    <n v="0"/>
    <n v="304.87142857142857"/>
    <n v="424.03035714285721"/>
    <n v="0"/>
    <n v="0"/>
    <m/>
    <m/>
    <m/>
    <m/>
    <m/>
    <m/>
    <m/>
  </r>
  <r>
    <x v="116"/>
    <x v="0"/>
    <s v="Contrato/pedido"/>
    <s v="Ketra"/>
    <s v="Contrato - IDEIA FIXA - Serviço de Clipping"/>
    <m/>
    <x v="21"/>
    <x v="1"/>
    <x v="1"/>
    <s v="Services"/>
    <s v="Indirects"/>
    <s v="TRANSPORT &amp; LOGISTICS"/>
    <x v="0"/>
    <x v="1"/>
    <s v="Un-budgeted"/>
    <d v="2026-01-01T00:00:00"/>
    <d v="2026-12-01T00:00:00"/>
    <m/>
    <n v="0"/>
    <n v="0"/>
    <n v="1753.2589285714287"/>
    <x v="114"/>
    <m/>
    <m/>
    <m/>
    <n v="0"/>
    <n v="394.41964285714289"/>
    <n v="356.25"/>
    <n v="386.78571428571433"/>
    <n v="137.41071428571431"/>
    <n v="0"/>
    <n v="478.39285714285717"/>
    <m/>
    <m/>
    <m/>
    <m/>
    <m/>
  </r>
  <r>
    <x v="115"/>
    <x v="0"/>
    <s v="Contrato/pedido"/>
    <s v="Ketra"/>
    <s v="FL26 - Analises estruturais - KOT"/>
    <m/>
    <x v="13"/>
    <x v="7"/>
    <x v="1"/>
    <s v="Services"/>
    <s v="Indirects"/>
    <m/>
    <x v="0"/>
    <x v="1"/>
    <s v="Un-budgeted"/>
    <d v="2026-01-01T00:00:00"/>
    <d v="2026-08-31T00:00:00"/>
    <m/>
    <n v="16062.999999999998"/>
    <n v="89952.799999999988"/>
    <n v="281.57500000000005"/>
    <x v="115"/>
    <m/>
    <m/>
    <m/>
    <n v="0"/>
    <n v="117.77142857142857"/>
    <n v="163.80357142857144"/>
    <n v="0"/>
    <n v="0"/>
    <n v="0"/>
    <m/>
    <m/>
    <m/>
    <m/>
    <m/>
    <m/>
  </r>
  <r>
    <x v="117"/>
    <x v="0"/>
    <s v="Contrato/pedido"/>
    <s v="Ketra - contrato "/>
    <s v="FL26 - Custo evitado - negociacoes de reajuste - Indirects Services"/>
    <m/>
    <x v="22"/>
    <x v="7"/>
    <x v="1"/>
    <s v="Services"/>
    <s v="Indirects"/>
    <m/>
    <x v="0"/>
    <x v="1"/>
    <s v="Un-budgeted"/>
    <d v="2026-02-01T00:00:00"/>
    <d v="2026-12-31T00:00:00"/>
    <m/>
    <n v="307816.97757380956"/>
    <n v="1723775.0744133336"/>
    <n v="221.38392857142858"/>
    <x v="116"/>
    <m/>
    <m/>
    <m/>
    <n v="0"/>
    <n v="0"/>
    <n v="0"/>
    <n v="116.51785714285715"/>
    <n v="0"/>
    <n v="104.86607142857143"/>
    <m/>
    <m/>
    <m/>
    <m/>
    <m/>
    <m/>
  </r>
  <r>
    <x v="118"/>
    <x v="1"/>
    <s v="Contrato/pedido"/>
    <s v="Spend (validar se há saving no insumo)"/>
    <s v="FL26 - Vibra Energia - Fuel Bidding Process"/>
    <s v="4600037884_x000a__x000a_2,47%"/>
    <x v="2"/>
    <x v="0"/>
    <x v="0"/>
    <s v="Material"/>
    <s v="Directs"/>
    <s v="MINING COMMODITIES"/>
    <x v="0"/>
    <x v="0"/>
    <s v="Un-budgeted"/>
    <d v="2026-01-01T00:00:00"/>
    <d v="2026-12-01T00:00:00"/>
    <s v="Consumo combustível AAPRJ17083"/>
    <n v="892857.14285714296"/>
    <n v="5000000"/>
    <n v="0"/>
    <x v="11"/>
    <m/>
    <m/>
    <m/>
    <n v="155969.07086892863"/>
    <n v="105826.21347303572"/>
    <n v="153962.14990928574"/>
    <n v="188686.66290500006"/>
    <n v="162600.36005571432"/>
    <n v="170888.7130066072"/>
    <n v="179374.04373803575"/>
    <m/>
    <m/>
    <m/>
    <m/>
    <m/>
  </r>
  <r>
    <x v="119"/>
    <x v="1"/>
    <s v="Projeto"/>
    <s v="Spend (validar se há saving no insumo)"/>
    <s v="Acquisition of 7 trucks _ Wheel Motor and Main Alternator "/>
    <m/>
    <x v="3"/>
    <x v="0"/>
    <x v="0"/>
    <s v="Services"/>
    <s v="Directs"/>
    <s v="MINING EQUIPMENT"/>
    <x v="1"/>
    <x v="0"/>
    <s v="Budgeted"/>
    <d v="2026-01-01T00:00:00"/>
    <d v="2026-12-01T00:00:00"/>
    <m/>
    <n v="2482029"/>
    <n v="13899362.399999999"/>
    <n v="0"/>
    <x v="11"/>
    <m/>
    <m/>
    <m/>
    <m/>
    <m/>
    <m/>
    <m/>
    <m/>
    <m/>
    <m/>
    <m/>
    <m/>
    <m/>
    <m/>
    <m/>
  </r>
  <r>
    <x v="120"/>
    <x v="0"/>
    <s v="Contrato/pedido"/>
    <s v="Ketra"/>
    <s v="FL26 - Alternator - alternative supplier (Chinese)"/>
    <m/>
    <x v="3"/>
    <x v="0"/>
    <x v="0"/>
    <s v="Material"/>
    <s v="Directs"/>
    <s v="MINING EQUIPMENT"/>
    <x v="1"/>
    <x v="2"/>
    <s v="Un-budgeted"/>
    <d v="2026-04-01T00:00:00"/>
    <d v="2026-12-31T00:00:00"/>
    <m/>
    <n v="272437.92857142858"/>
    <n v="1525652.4"/>
    <n v="0"/>
    <x v="11"/>
    <m/>
    <m/>
    <m/>
    <m/>
    <m/>
    <m/>
    <m/>
    <m/>
    <m/>
    <m/>
    <m/>
    <m/>
    <m/>
    <m/>
    <m/>
  </r>
  <r>
    <x v="121"/>
    <x v="0"/>
    <s v="Contrato/pedido"/>
    <s v="Ketra"/>
    <s v="FL26 - Enginee Repair (REMAN) - DCML"/>
    <m/>
    <x v="3"/>
    <x v="0"/>
    <x v="0"/>
    <s v="Services"/>
    <s v="Directs"/>
    <s v="MINING EQUIPMENT"/>
    <x v="1"/>
    <x v="2"/>
    <s v="Un-budgeted"/>
    <d v="2026-01-01T00:00:00"/>
    <d v="2026-12-01T00:00:00"/>
    <m/>
    <n v="321428.57142857142"/>
    <n v="1799999.9999999998"/>
    <n v="0"/>
    <x v="11"/>
    <m/>
    <m/>
    <m/>
    <m/>
    <m/>
    <m/>
    <m/>
    <m/>
    <m/>
    <m/>
    <m/>
    <m/>
    <m/>
    <m/>
    <m/>
  </r>
  <r>
    <x v="122"/>
    <x v="0"/>
    <s v="Contrato/pedido"/>
    <s v="Ketra"/>
    <s v="FL26 - Motorized Wheel - alternative supplier (Chinese)"/>
    <m/>
    <x v="3"/>
    <x v="0"/>
    <x v="0"/>
    <s v="Material"/>
    <s v="Directs"/>
    <s v="MINING EQUIPMENT"/>
    <x v="1"/>
    <x v="2"/>
    <s v="Un-budgeted"/>
    <d v="2026-04-01T00:00:00"/>
    <d v="2026-12-31T00:00:00"/>
    <m/>
    <n v="1474745.6078571428"/>
    <n v="8258575.4039999992"/>
    <n v="0"/>
    <x v="11"/>
    <m/>
    <m/>
    <m/>
    <m/>
    <m/>
    <m/>
    <m/>
    <m/>
    <m/>
    <m/>
    <m/>
    <m/>
    <m/>
    <m/>
    <m/>
  </r>
  <r>
    <x v="123"/>
    <x v="0"/>
    <s v="Contrato/pedido"/>
    <s v="Ketra"/>
    <s v="FL26 - SAS (Sound Attenuation) - Alternative Supplier Mammoth e Minetek"/>
    <m/>
    <x v="3"/>
    <x v="0"/>
    <x v="0"/>
    <s v="Material"/>
    <s v="Directs"/>
    <s v="MINING EQUIPMENT"/>
    <x v="1"/>
    <x v="2"/>
    <s v="Un-budgeted"/>
    <d v="2026-01-01T00:00:00"/>
    <d v="2026-12-31T00:00:00"/>
    <m/>
    <n v="1300235.7142857143"/>
    <n v="7281320"/>
    <n v="0"/>
    <x v="11"/>
    <m/>
    <m/>
    <m/>
    <m/>
    <m/>
    <m/>
    <m/>
    <m/>
    <m/>
    <m/>
    <m/>
    <m/>
    <m/>
    <m/>
    <m/>
  </r>
  <r>
    <x v="124"/>
    <x v="0"/>
    <s v="Contrato/pedido"/>
    <s v="Ketra"/>
    <s v="FL26 - SIB Components 2026 - Komatsu"/>
    <m/>
    <x v="3"/>
    <x v="0"/>
    <x v="0"/>
    <s v="Material"/>
    <s v="Directs"/>
    <s v="MINING EQUIPMENT"/>
    <x v="1"/>
    <x v="2"/>
    <s v="Budgeted"/>
    <d v="2026-01-01T00:00:00"/>
    <d v="2026-12-31T00:00:00"/>
    <m/>
    <n v="714285.71428571432"/>
    <n v="4000000"/>
    <n v="0"/>
    <x v="11"/>
    <m/>
    <m/>
    <m/>
    <m/>
    <m/>
    <m/>
    <m/>
    <m/>
    <m/>
    <m/>
    <m/>
    <m/>
    <m/>
    <m/>
    <m/>
  </r>
  <r>
    <x v="125"/>
    <x v="2"/>
    <s v="Capex"/>
    <s v="Capex"/>
    <s v="CAPEX - ConstruÃ§Ã£o Projeto de DisposiÃ§Ã£o de Rejeito Filtrado PDE Norte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26"/>
    <x v="2"/>
    <s v="Capex"/>
    <s v="Capex"/>
    <s v="ServiÃ§os de Apoio TÃ©cnico a Obra Filtragem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27"/>
    <x v="2"/>
    <s v="Capex"/>
    <s v="Capex"/>
    <s v="FL23 - Deep Tubular Wells Maintenance Negotiation"/>
    <m/>
    <x v="5"/>
    <x v="3"/>
    <x v="2"/>
    <s v="Services"/>
    <s v="Directs"/>
    <s v="Capex"/>
    <x v="1"/>
    <x v="0"/>
    <s v="Capex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28"/>
    <x v="2"/>
    <s v="Capex"/>
    <s v="Capex"/>
    <s v="FL25 - Montagem eletromecÃ¢nica Espessador CMD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29"/>
    <x v="2"/>
    <s v="Capex"/>
    <s v="Capex"/>
    <s v="Programa Deslocamento Humano PNO"/>
    <m/>
    <x v="5"/>
    <x v="3"/>
    <x v="2"/>
    <s v="Services"/>
    <s v="Indirects"/>
    <s v="Capex"/>
    <x v="1"/>
    <x v="2"/>
    <s v="Capex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30"/>
    <x v="2"/>
    <s v="Capex"/>
    <s v="Capex"/>
    <s v="FL25 - Drenagem do Canal PerifÃ©rico Cascalheira e Descidas A/B"/>
    <m/>
    <x v="5"/>
    <x v="3"/>
    <x v="2"/>
    <s v="Services"/>
    <s v="Directs"/>
    <s v="Capex"/>
    <x v="1"/>
    <x v="2"/>
    <s v="Capex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31"/>
    <x v="0"/>
    <s v="Contrato/pedido"/>
    <s v="Ketra"/>
    <s v="FL26 - SIB Components 2026 - Komatsu - Payment Terms Extension"/>
    <m/>
    <x v="3"/>
    <x v="0"/>
    <x v="0"/>
    <s v="Material"/>
    <s v="Directs"/>
    <s v="MINING EQUIPMENT"/>
    <x v="1"/>
    <x v="2"/>
    <s v="Un-budgeted"/>
    <d v="2026-01-01T00:00:00"/>
    <d v="2026-12-31T00:00:00"/>
    <m/>
    <n v="1190357.142857143"/>
    <n v="6666000"/>
    <n v="0"/>
    <x v="11"/>
    <m/>
    <m/>
    <m/>
    <m/>
    <m/>
    <m/>
    <m/>
    <m/>
    <m/>
    <m/>
    <m/>
    <m/>
    <m/>
    <m/>
    <m/>
  </r>
  <r>
    <x v="132"/>
    <x v="0"/>
    <s v="Contrato/pedido"/>
    <s v="Ketra"/>
    <s v="Serviços especializados para gestão de contratos de estágio - NUBE"/>
    <m/>
    <x v="21"/>
    <x v="1"/>
    <x v="1"/>
    <s v="Services"/>
    <s v="Indirects"/>
    <s v="FACILITIES MANAGEMENT"/>
    <x v="0"/>
    <x v="1"/>
    <s v="Un-budgeted"/>
    <d v="2026-01-01T00:00:00"/>
    <d v="2026-12-01T00:00:00"/>
    <m/>
    <n v="0"/>
    <n v="0"/>
    <n v="204.49107142857144"/>
    <x v="117"/>
    <m/>
    <m/>
    <m/>
    <n v="0"/>
    <n v="0"/>
    <n v="0"/>
    <n v="51.448214285714293"/>
    <n v="0"/>
    <n v="103.54821428571429"/>
    <n v="49.494642857142864"/>
    <m/>
    <m/>
    <m/>
    <m/>
    <m/>
  </r>
  <r>
    <x v="133"/>
    <x v="0"/>
    <s v="Contrato/pedido"/>
    <s v="Ketra"/>
    <s v="FL26 - Disposal Plan and hypothetical breakdown studies"/>
    <m/>
    <x v="23"/>
    <x v="7"/>
    <x v="1"/>
    <s v="Services"/>
    <s v="Indirects"/>
    <m/>
    <x v="0"/>
    <x v="0"/>
    <s v="Un-budgeted"/>
    <d v="2026-01-01T00:00:00"/>
    <d v="2026-12-31T00:00:00"/>
    <m/>
    <n v="10522.10892857143"/>
    <n v="58923.810000000005"/>
    <n v="0"/>
    <x v="11"/>
    <m/>
    <m/>
    <m/>
    <m/>
    <m/>
    <m/>
    <m/>
    <m/>
    <m/>
    <m/>
    <m/>
    <m/>
    <m/>
    <m/>
    <m/>
  </r>
  <r>
    <x v="134"/>
    <x v="0"/>
    <s v="Contrato/pedido"/>
    <s v="Ketra"/>
    <s v="FL26 - Negociacoes menores Camila"/>
    <m/>
    <x v="23"/>
    <x v="7"/>
    <x v="1"/>
    <s v="Services"/>
    <s v="Indirects"/>
    <m/>
    <x v="0"/>
    <x v="0"/>
    <s v="Un-budgeted"/>
    <d v="2026-01-01T00:00:00"/>
    <d v="2026-12-31T00:00:00"/>
    <m/>
    <n v="37430.997991071432"/>
    <n v="209613.58875"/>
    <n v="0"/>
    <x v="11"/>
    <m/>
    <m/>
    <m/>
    <m/>
    <m/>
    <m/>
    <m/>
    <m/>
    <m/>
    <m/>
    <m/>
    <m/>
    <m/>
    <m/>
    <m/>
  </r>
  <r>
    <x v="135"/>
    <x v="0"/>
    <s v="Contrato/pedido"/>
    <s v="Ketra"/>
    <s v="1º Reajuste Contratual - TECHBRAX"/>
    <m/>
    <x v="6"/>
    <x v="4"/>
    <x v="0"/>
    <s v="Services"/>
    <s v="Directs"/>
    <m/>
    <x v="0"/>
    <x v="1"/>
    <s v="Un-budgeted"/>
    <d v="2026-01-01T00:00:00"/>
    <d v="2026-12-01T00:00:00"/>
    <m/>
    <n v="0"/>
    <n v="0"/>
    <n v="27.953571428571429"/>
    <x v="118"/>
    <m/>
    <m/>
    <m/>
    <n v="14.823214285714288"/>
    <n v="0.22857142857142859"/>
    <n v="1.5249999999999999"/>
    <n v="11.376785714285715"/>
    <n v="0"/>
    <n v="0"/>
    <m/>
    <m/>
    <m/>
    <m/>
    <m/>
    <m/>
  </r>
  <r>
    <x v="136"/>
    <x v="0"/>
    <s v="Contrato/pedido"/>
    <s v="Ketra"/>
    <s v="FL26 - Light Vehicles IOB  - 13583859"/>
    <m/>
    <x v="1"/>
    <x v="1"/>
    <x v="1"/>
    <s v="Services"/>
    <s v="Indirects"/>
    <s v="FACILITIES MANAGEMENT"/>
    <x v="0"/>
    <x v="1"/>
    <s v="Budgeted"/>
    <d v="2026-07-01T00:00:00"/>
    <d v="2026-12-01T00:00:00"/>
    <m/>
    <n v="31750.368710937495"/>
    <n v="177802.06478124997"/>
    <n v="0"/>
    <x v="11"/>
    <m/>
    <m/>
    <m/>
    <m/>
    <m/>
    <m/>
    <m/>
    <m/>
    <m/>
    <m/>
    <m/>
    <m/>
    <m/>
    <m/>
    <m/>
  </r>
  <r>
    <x v="137"/>
    <x v="0"/>
    <s v="Contrato/pedido"/>
    <s v="Ketra"/>
    <s v="FL26 - Data Analytics Services – DTI"/>
    <m/>
    <x v="24"/>
    <x v="1"/>
    <x v="1"/>
    <s v="Services"/>
    <s v="Indirects"/>
    <s v="IT"/>
    <x v="0"/>
    <x v="0"/>
    <s v="Budgeted"/>
    <d v="2026-03-01T00:00:00"/>
    <d v="2026-12-01T00:00:00"/>
    <m/>
    <n v="4524.9895833333339"/>
    <n v="25339.941666666669"/>
    <n v="0"/>
    <x v="11"/>
    <m/>
    <m/>
    <m/>
    <m/>
    <m/>
    <m/>
    <m/>
    <m/>
    <m/>
    <m/>
    <m/>
    <m/>
    <m/>
    <m/>
    <m/>
  </r>
  <r>
    <x v="138"/>
    <x v="0"/>
    <s v="Contrato/pedido"/>
    <s v="Ketra"/>
    <s v="FL26 - RADIO/ACCESSORY REPLACEMENT"/>
    <m/>
    <x v="24"/>
    <x v="1"/>
    <x v="1"/>
    <s v="Services"/>
    <s v="Indirects"/>
    <s v="IT"/>
    <x v="0"/>
    <x v="0"/>
    <s v="Budgeted"/>
    <d v="2026-07-01T00:00:00"/>
    <d v="2026-12-01T00:00:00"/>
    <m/>
    <n v="24437.483500000002"/>
    <n v="136849.90760000001"/>
    <n v="0"/>
    <x v="11"/>
    <m/>
    <m/>
    <m/>
    <m/>
    <m/>
    <m/>
    <m/>
    <m/>
    <m/>
    <m/>
    <m/>
    <m/>
    <m/>
    <m/>
    <m/>
  </r>
  <r>
    <x v="139"/>
    <x v="0"/>
    <s v="Contrato/pedido"/>
    <s v="Ketra"/>
    <s v="Tires Basket Items Below Budget 2026"/>
    <n v="4600048619"/>
    <x v="24"/>
    <x v="1"/>
    <x v="1"/>
    <s v="Services"/>
    <s v="Indirects"/>
    <s v="HR SERVICES"/>
    <x v="0"/>
    <x v="0"/>
    <s v="Un-budgeted"/>
    <d v="2026-01-01T00:00:00"/>
    <d v="2026-12-01T00:00:00"/>
    <m/>
    <n v="0"/>
    <n v="0"/>
    <n v="2253703.5369035718"/>
    <x v="119"/>
    <m/>
    <m/>
    <m/>
    <m/>
    <m/>
    <m/>
    <m/>
    <m/>
    <m/>
    <n v="2253703.5369035718"/>
    <m/>
    <m/>
    <m/>
    <m/>
    <m/>
  </r>
  <r>
    <x v="140"/>
    <x v="1"/>
    <s v="Insumos"/>
    <s v="Basket"/>
    <s v="FL26 - Anti-Incrustante CMD"/>
    <m/>
    <x v="4"/>
    <x v="2"/>
    <x v="0"/>
    <s v="Material"/>
    <s v="Directs"/>
    <s v="PROCESSING"/>
    <x v="0"/>
    <x v="1"/>
    <s v="Budgeted"/>
    <d v="2026-01-01T00:00:00"/>
    <d v="2026-04-30T00:00:00"/>
    <m/>
    <n v="5976"/>
    <n v="33465.599999999999"/>
    <n v="0"/>
    <x v="11"/>
    <m/>
    <m/>
    <m/>
    <m/>
    <m/>
    <m/>
    <m/>
    <m/>
    <m/>
    <m/>
    <m/>
    <m/>
    <m/>
    <m/>
    <m/>
  </r>
  <r>
    <x v="141"/>
    <x v="0"/>
    <s v="Contrato/pedido"/>
    <s v="Ketra"/>
    <s v="FL26 - Sotreq - Spare Parts Negotiation_New Contracts"/>
    <m/>
    <x v="3"/>
    <x v="0"/>
    <x v="0"/>
    <s v="Material"/>
    <s v="Directs"/>
    <s v="MINING EQUIPMENT"/>
    <x v="0"/>
    <x v="1"/>
    <s v="Un-budgeted"/>
    <d v="2026-01-01T00:00:00"/>
    <d v="2026-12-31T00:00:00"/>
    <m/>
    <n v="56048.317946428579"/>
    <n v="313870.58050000004"/>
    <n v="0"/>
    <x v="11"/>
    <m/>
    <m/>
    <m/>
    <m/>
    <m/>
    <m/>
    <m/>
    <m/>
    <m/>
    <m/>
    <m/>
    <m/>
    <m/>
    <m/>
    <m/>
  </r>
  <r>
    <x v="142"/>
    <x v="0"/>
    <s v="Contrato/pedido"/>
    <s v="Ketra"/>
    <s v="FL26 - Manutencao de pocos"/>
    <m/>
    <x v="10"/>
    <x v="7"/>
    <x v="1"/>
    <s v="Services"/>
    <s v="Indirects"/>
    <m/>
    <x v="0"/>
    <x v="0"/>
    <s v="Un-budgeted"/>
    <d v="2026-01-01T00:00:00"/>
    <d v="2026-12-31T00:00:00"/>
    <m/>
    <n v="21498.754017857143"/>
    <n v="120393.02249999999"/>
    <n v="0"/>
    <x v="11"/>
    <m/>
    <m/>
    <m/>
    <m/>
    <m/>
    <m/>
    <m/>
    <m/>
    <m/>
    <m/>
    <m/>
    <m/>
    <m/>
    <m/>
    <m/>
  </r>
  <r>
    <x v="143"/>
    <x v="0"/>
    <s v="Contrato/pedido"/>
    <s v="Ketra"/>
    <s v="FL26 - Monitotamento de recursos hidricos"/>
    <m/>
    <x v="10"/>
    <x v="7"/>
    <x v="1"/>
    <s v="Services"/>
    <s v="Indirects"/>
    <m/>
    <x v="0"/>
    <x v="0"/>
    <s v="Un-budgeted"/>
    <d v="2026-04-01T00:00:00"/>
    <d v="2026-12-01T00:00:00"/>
    <m/>
    <n v="37433.776138392859"/>
    <n v="209629.14637500001"/>
    <n v="0"/>
    <x v="11"/>
    <m/>
    <m/>
    <m/>
    <m/>
    <m/>
    <m/>
    <m/>
    <m/>
    <m/>
    <m/>
    <m/>
    <m/>
    <m/>
    <m/>
    <m/>
  </r>
  <r>
    <x v="144"/>
    <x v="0"/>
    <s v="Contrato/pedido"/>
    <s v="Ketra"/>
    <s v="FL26 - Negociacoes menores Gilmara"/>
    <m/>
    <x v="10"/>
    <x v="7"/>
    <x v="1"/>
    <s v="Services"/>
    <s v="Indirects"/>
    <m/>
    <x v="0"/>
    <x v="0"/>
    <s v="Un-budgeted"/>
    <d v="2026-01-01T00:00:00"/>
    <d v="2026-12-31T00:00:00"/>
    <m/>
    <n v="48528.998437500013"/>
    <n v="271762.39125000004"/>
    <n v="0"/>
    <x v="11"/>
    <m/>
    <m/>
    <m/>
    <m/>
    <m/>
    <m/>
    <m/>
    <m/>
    <m/>
    <m/>
    <m/>
    <m/>
    <m/>
    <m/>
    <m/>
  </r>
  <r>
    <x v="145"/>
    <x v="0"/>
    <s v="Contrato/pedido"/>
    <s v="Ketra"/>
    <s v="FL26 - Revegetacao Recuperacao Areas Degradadas"/>
    <m/>
    <x v="10"/>
    <x v="7"/>
    <x v="1"/>
    <s v="Services"/>
    <s v="Indirects"/>
    <m/>
    <x v="0"/>
    <x v="0"/>
    <s v="Un-budgeted"/>
    <d v="2026-03-02T00:00:00"/>
    <d v="2026-12-01T00:00:00"/>
    <m/>
    <n v="15073.844882812502"/>
    <n v="84413.531343750001"/>
    <n v="0"/>
    <x v="11"/>
    <m/>
    <m/>
    <m/>
    <m/>
    <m/>
    <m/>
    <m/>
    <m/>
    <m/>
    <m/>
    <m/>
    <m/>
    <m/>
    <m/>
    <m/>
  </r>
  <r>
    <x v="146"/>
    <x v="0"/>
    <s v="Contrato/pedido"/>
    <s v="Ketra"/>
    <s v="FL26 - Servicos de apoio à Gestao de contratadas"/>
    <m/>
    <x v="10"/>
    <x v="7"/>
    <x v="1"/>
    <s v="Services"/>
    <s v="Indirects"/>
    <m/>
    <x v="0"/>
    <x v="0"/>
    <s v="Un-budgeted"/>
    <d v="2026-01-01T00:00:00"/>
    <d v="2026-12-31T00:00:00"/>
    <m/>
    <n v="35166.478242857142"/>
    <n v="196932.27815999999"/>
    <n v="0"/>
    <x v="11"/>
    <m/>
    <m/>
    <m/>
    <m/>
    <m/>
    <m/>
    <m/>
    <m/>
    <m/>
    <m/>
    <m/>
    <m/>
    <m/>
    <m/>
    <m/>
  </r>
  <r>
    <x v="147"/>
    <x v="0"/>
    <s v="Contrato/pedido"/>
    <s v="Ketra"/>
    <s v="FL26 - Servicos de Fauna e Flora"/>
    <m/>
    <x v="10"/>
    <x v="7"/>
    <x v="1"/>
    <s v="Services"/>
    <s v="Indirects"/>
    <m/>
    <x v="0"/>
    <x v="0"/>
    <s v="Un-budgeted"/>
    <d v="2026-08-04T00:00:00"/>
    <d v="2026-12-01T00:00:00"/>
    <m/>
    <n v="20611.428373325896"/>
    <n v="115423.99889062501"/>
    <n v="0"/>
    <x v="11"/>
    <m/>
    <m/>
    <m/>
    <m/>
    <m/>
    <m/>
    <m/>
    <m/>
    <m/>
    <m/>
    <m/>
    <m/>
    <m/>
    <m/>
    <m/>
  </r>
  <r>
    <x v="148"/>
    <x v="0"/>
    <s v="Contrato/pedido"/>
    <s v="Ketra"/>
    <s v="FL26 - Servicos de manutencao da barragem rejeitos"/>
    <m/>
    <x v="10"/>
    <x v="7"/>
    <x v="1"/>
    <s v="Services"/>
    <s v="Indirects"/>
    <m/>
    <x v="0"/>
    <x v="0"/>
    <s v="Un-budgeted"/>
    <d v="2026-01-01T00:00:00"/>
    <d v="2026-12-31T00:00:00"/>
    <m/>
    <n v="83674.184357142876"/>
    <n v="468575.43240000005"/>
    <n v="0"/>
    <x v="11"/>
    <m/>
    <m/>
    <m/>
    <m/>
    <m/>
    <m/>
    <m/>
    <m/>
    <m/>
    <m/>
    <m/>
    <m/>
    <m/>
    <m/>
    <m/>
  </r>
  <r>
    <x v="149"/>
    <x v="0"/>
    <s v="Contrato/pedido"/>
    <s v="Ketra"/>
    <s v="FL26 - Servicos de Patrominio Cultural"/>
    <m/>
    <x v="10"/>
    <x v="7"/>
    <x v="1"/>
    <s v="Services"/>
    <s v="Indirects"/>
    <m/>
    <x v="0"/>
    <x v="0"/>
    <s v="Un-budgeted"/>
    <d v="2026-05-01T00:00:00"/>
    <d v="2026-12-01T00:00:00"/>
    <m/>
    <n v="30626.89658928572"/>
    <n v="171510.62090000001"/>
    <n v="0"/>
    <x v="11"/>
    <m/>
    <m/>
    <m/>
    <m/>
    <m/>
    <m/>
    <m/>
    <m/>
    <m/>
    <m/>
    <m/>
    <m/>
    <m/>
    <m/>
    <m/>
  </r>
  <r>
    <x v="150"/>
    <x v="0"/>
    <s v="Contrato/pedido"/>
    <s v="Ketra"/>
    <s v="FL26 - Servicos de Transporte de madeira"/>
    <m/>
    <x v="10"/>
    <x v="7"/>
    <x v="1"/>
    <s v="Services"/>
    <s v="Indirects"/>
    <m/>
    <x v="0"/>
    <x v="0"/>
    <s v="Un-budgeted"/>
    <d v="2026-08-18T00:00:00"/>
    <d v="2026-12-01T00:00:00"/>
    <m/>
    <n v="6144.6752232142862"/>
    <n v="34410.181250000001"/>
    <n v="0"/>
    <x v="11"/>
    <m/>
    <m/>
    <m/>
    <m/>
    <m/>
    <m/>
    <m/>
    <m/>
    <m/>
    <m/>
    <m/>
    <m/>
    <m/>
    <m/>
    <m/>
  </r>
  <r>
    <x v="151"/>
    <x v="0"/>
    <s v="Contrato/pedido"/>
    <s v="Ketra"/>
    <s v="FL26 - Suporte Tecnico Gerencia Geologia"/>
    <m/>
    <x v="10"/>
    <x v="7"/>
    <x v="1"/>
    <s v="Services"/>
    <s v="Indirects"/>
    <m/>
    <x v="0"/>
    <x v="0"/>
    <s v="Un-budgeted"/>
    <d v="2026-02-01T00:00:00"/>
    <d v="2027-01-31T00:00:00"/>
    <m/>
    <n v="37505.93"/>
    <n v="210033.20799999998"/>
    <n v="0"/>
    <x v="11"/>
    <m/>
    <m/>
    <m/>
    <m/>
    <m/>
    <m/>
    <m/>
    <m/>
    <m/>
    <m/>
    <m/>
    <m/>
    <m/>
    <m/>
    <m/>
  </r>
  <r>
    <x v="152"/>
    <x v="0"/>
    <s v="Contrato/pedido"/>
    <s v="Ketra"/>
    <s v="FL26 - Inspecao e monitoramento - Contecnica"/>
    <m/>
    <x v="10"/>
    <x v="7"/>
    <x v="1"/>
    <s v="Services"/>
    <s v="Indirects"/>
    <m/>
    <x v="0"/>
    <x v="0"/>
    <s v="Un-budgeted"/>
    <d v="2026-01-01T00:00:00"/>
    <d v="2026-10-30T00:00:00"/>
    <m/>
    <n v="285763.88888888888"/>
    <n v="1600277.7777777775"/>
    <n v="0"/>
    <x v="11"/>
    <m/>
    <m/>
    <m/>
    <m/>
    <m/>
    <m/>
    <m/>
    <m/>
    <m/>
    <m/>
    <m/>
    <m/>
    <m/>
    <m/>
    <m/>
  </r>
  <r>
    <x v="153"/>
    <x v="0"/>
    <s v="Contrato/pedido"/>
    <s v="Ketra"/>
    <s v="Novo BID MMSocial"/>
    <m/>
    <x v="10"/>
    <x v="7"/>
    <x v="1"/>
    <s v="Services"/>
    <s v="Indirects"/>
    <m/>
    <x v="0"/>
    <x v="0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54"/>
    <x v="0"/>
    <s v="Contrato/pedido"/>
    <s v="Ketra"/>
    <s v="viços de Mentoria Operacional - projetos Lean Six Sigma"/>
    <m/>
    <x v="21"/>
    <x v="1"/>
    <x v="1"/>
    <s v="Services"/>
    <s v="Indirects"/>
    <s v="FACILITIES MANAGEMENT"/>
    <x v="0"/>
    <x v="0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55"/>
    <x v="0"/>
    <s v="Contrato/pedido"/>
    <s v="Ketra"/>
    <s v="CT 4600048879 - LEX DESIGN_Redesenho de Processos"/>
    <n v="4600048879"/>
    <x v="21"/>
    <x v="1"/>
    <x v="1"/>
    <s v="Services"/>
    <s v="Indirects"/>
    <s v="HR SERVICES"/>
    <x v="0"/>
    <x v="0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56"/>
    <x v="0"/>
    <s v="Contrato/pedido"/>
    <s v="Ketra"/>
    <s v="2° Reajuste - CT 4600035772_SENAI"/>
    <n v="4600035772"/>
    <x v="21"/>
    <x v="1"/>
    <x v="1"/>
    <s v="Services"/>
    <s v="Indirects"/>
    <s v="HR SERVICES"/>
    <x v="0"/>
    <x v="0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57"/>
    <x v="0"/>
    <s v="Contrato/pedido"/>
    <s v="Roger/Ana Abaga"/>
    <s v="FL26 - Discount provided by Cummins on new engines - Cummins"/>
    <m/>
    <x v="0"/>
    <x v="0"/>
    <x v="0"/>
    <s v="Material"/>
    <s v="Directs"/>
    <s v="MINING EQUIPMENT"/>
    <x v="0"/>
    <x v="0"/>
    <s v="Budgeted"/>
    <d v="2026-01-01T00:00:00"/>
    <d v="2026-12-31T00:00:00"/>
    <m/>
    <n v="480448.0377358491"/>
    <n v="2690509.0113207549"/>
    <n v="0"/>
    <x v="11"/>
    <m/>
    <m/>
    <m/>
    <m/>
    <m/>
    <m/>
    <m/>
    <m/>
    <m/>
    <m/>
    <m/>
    <m/>
    <m/>
    <m/>
    <m/>
  </r>
  <r>
    <x v="158"/>
    <x v="0"/>
    <s v="Contrato/pedido"/>
    <s v="Ketra"/>
    <s v="RAC ASTEC "/>
    <m/>
    <x v="23"/>
    <x v="7"/>
    <x v="1"/>
    <s v="Services"/>
    <s v="Indirects"/>
    <m/>
    <x v="0"/>
    <x v="1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59"/>
    <x v="0"/>
    <s v="GFA"/>
    <s v="Bruna Oliveira - global"/>
    <s v="FL26 - Equipment acquistion through GFAs or direct negotiation with major OEMs - Various"/>
    <m/>
    <x v="0"/>
    <x v="0"/>
    <x v="0"/>
    <s v="Material"/>
    <s v="Directs"/>
    <s v="MINING EQUIPMENT"/>
    <x v="1"/>
    <x v="2"/>
    <s v="Budgeted"/>
    <d v="2026-01-01T00:00:00"/>
    <d v="2026-12-31T00:00:00"/>
    <m/>
    <n v="300000"/>
    <n v="1680000"/>
    <n v="0"/>
    <x v="11"/>
    <m/>
    <m/>
    <m/>
    <m/>
    <m/>
    <m/>
    <m/>
    <m/>
    <m/>
    <m/>
    <m/>
    <m/>
    <m/>
    <m/>
    <m/>
  </r>
  <r>
    <x v="160"/>
    <x v="0"/>
    <s v="GFA"/>
    <s v="Desmobilizando"/>
    <s v="FL26 - GFA Parts discount - Epiroc - Value Protection"/>
    <m/>
    <x v="0"/>
    <x v="0"/>
    <x v="0"/>
    <s v="Material"/>
    <s v="Directs"/>
    <s v="MINING EQUIPMENT"/>
    <x v="0"/>
    <x v="0"/>
    <s v="Budgeted"/>
    <d v="2026-01-01T00:00:00"/>
    <d v="2026-12-31T00:00:00"/>
    <m/>
    <n v="575091"/>
    <n v="3220509.5999999996"/>
    <n v="0"/>
    <x v="11"/>
    <m/>
    <m/>
    <m/>
    <m/>
    <m/>
    <m/>
    <m/>
    <m/>
    <m/>
    <m/>
    <m/>
    <m/>
    <m/>
    <m/>
    <m/>
  </r>
  <r>
    <x v="161"/>
    <x v="0"/>
    <s v="Contrato/pedido"/>
    <s v="Ketra"/>
    <s v="FL26 - ADAS (Argus / Hexagon) - EMS MIna"/>
    <m/>
    <x v="24"/>
    <x v="1"/>
    <x v="1"/>
    <s v="Services"/>
    <s v="Indirects"/>
    <s v="IT"/>
    <x v="0"/>
    <x v="1"/>
    <s v="Budgeted"/>
    <d v="2026-08-31T00:00:00"/>
    <d v="2026-12-01T00:00:00"/>
    <m/>
    <n v="6688.5772413883142"/>
    <n v="37456.032551774559"/>
    <n v="0"/>
    <x v="11"/>
    <m/>
    <m/>
    <m/>
    <m/>
    <m/>
    <m/>
    <m/>
    <m/>
    <m/>
    <m/>
    <m/>
    <m/>
    <m/>
    <m/>
    <m/>
  </r>
  <r>
    <x v="162"/>
    <x v="0"/>
    <s v="GFA"/>
    <s v="Roger/Adam Taylor"/>
    <s v="FL26 - GFA Parts Discount - Sandvik - Value Protection"/>
    <m/>
    <x v="0"/>
    <x v="0"/>
    <x v="0"/>
    <s v="Material"/>
    <s v="Directs"/>
    <s v="MINING EQUIPMENT"/>
    <x v="0"/>
    <x v="0"/>
    <s v="Budgeted"/>
    <d v="2026-01-01T00:00:00"/>
    <d v="2026-12-31T00:00:00"/>
    <m/>
    <n v="724241"/>
    <n v="4055749.5999999996"/>
    <n v="0"/>
    <x v="11"/>
    <m/>
    <m/>
    <m/>
    <m/>
    <m/>
    <m/>
    <m/>
    <m/>
    <m/>
    <m/>
    <m/>
    <m/>
    <m/>
    <m/>
    <m/>
  </r>
  <r>
    <x v="163"/>
    <x v="0"/>
    <s v="Contrato/pedido"/>
    <s v="Ketra - contrato "/>
    <s v="FL26 - Iniciativas SIB - Gerencia Mayron"/>
    <m/>
    <x v="22"/>
    <x v="7"/>
    <x v="1"/>
    <s v="Services"/>
    <s v="Indirects"/>
    <m/>
    <x v="0"/>
    <x v="1"/>
    <s v="Un-budgeted"/>
    <d v="2026-01-01T00:00:00"/>
    <d v="2026-12-31T00:00:00"/>
    <m/>
    <n v="295162.47914062504"/>
    <n v="1652909.8831875001"/>
    <n v="0"/>
    <x v="11"/>
    <m/>
    <m/>
    <m/>
    <m/>
    <m/>
    <m/>
    <m/>
    <m/>
    <m/>
    <m/>
    <m/>
    <m/>
    <m/>
    <m/>
    <m/>
  </r>
  <r>
    <x v="164"/>
    <x v="0"/>
    <s v="Contrato/pedido"/>
    <s v="Ketra"/>
    <s v="FL26 - Iniciativas SIB CAPEX - Gerencia Mayron"/>
    <m/>
    <x v="22"/>
    <x v="7"/>
    <x v="1"/>
    <s v="Services"/>
    <s v="Indirects"/>
    <m/>
    <x v="1"/>
    <x v="1"/>
    <s v="Un-budgeted"/>
    <d v="2026-01-01T00:00:00"/>
    <d v="2026-12-31T00:00:00"/>
    <m/>
    <n v="295162.47914062504"/>
    <n v="1652909.8831875001"/>
    <n v="0"/>
    <x v="11"/>
    <m/>
    <m/>
    <m/>
    <m/>
    <m/>
    <m/>
    <m/>
    <m/>
    <m/>
    <m/>
    <m/>
    <m/>
    <m/>
    <m/>
    <m/>
  </r>
  <r>
    <x v="165"/>
    <x v="0"/>
    <s v="GFA"/>
    <s v="Roger/Adam Taylor"/>
    <s v="FL26 - Equipment acquistion through GFAs or direct negotiation with majro OEMs - Sandvik"/>
    <m/>
    <x v="0"/>
    <x v="0"/>
    <x v="0"/>
    <s v="Material"/>
    <s v="Directs"/>
    <s v="MINING EQUIPMENT"/>
    <x v="1"/>
    <x v="2"/>
    <s v="Budgeted"/>
    <d v="2026-01-01T00:00:00"/>
    <d v="2026-12-31T00:00:00"/>
    <m/>
    <n v="1036566.0577777826"/>
    <n v="5804769.9235555818"/>
    <n v="0"/>
    <x v="11"/>
    <m/>
    <m/>
    <m/>
    <m/>
    <m/>
    <m/>
    <m/>
    <m/>
    <m/>
    <m/>
    <m/>
    <m/>
    <m/>
    <m/>
    <m/>
  </r>
  <r>
    <x v="166"/>
    <x v="0"/>
    <s v="GFA"/>
    <s v="Roger/ Ainura"/>
    <s v="FL26 - Equipment acquistion through GFAs or direct negotiation with majro OEMs - Flanders"/>
    <m/>
    <x v="0"/>
    <x v="0"/>
    <x v="0"/>
    <s v="Material"/>
    <s v="Directs"/>
    <s v="MINING EQUIPMENT"/>
    <x v="1"/>
    <x v="2"/>
    <s v="Budgeted"/>
    <d v="2026-01-01T00:00:00"/>
    <d v="2026-12-31T00:00:00"/>
    <m/>
    <n v="225946.43400000001"/>
    <n v="1265300.0304"/>
    <n v="0"/>
    <x v="11"/>
    <m/>
    <m/>
    <m/>
    <m/>
    <m/>
    <m/>
    <m/>
    <m/>
    <m/>
    <m/>
    <m/>
    <m/>
    <m/>
    <m/>
    <m/>
  </r>
  <r>
    <x v="167"/>
    <x v="0"/>
    <s v="GFA"/>
    <s v="Odilon/Ainura"/>
    <s v="FL26 - Equipment acquistion through GFAs or direct negotiation with majro OEMs - Hexagon"/>
    <m/>
    <x v="0"/>
    <x v="1"/>
    <x v="1"/>
    <s v="Material"/>
    <s v="Indirects"/>
    <s v="IT"/>
    <x v="1"/>
    <x v="2"/>
    <s v="Budgeted"/>
    <d v="2026-01-01T00:00:00"/>
    <d v="2026-12-31T00:00:00"/>
    <m/>
    <n v="145441.93060000002"/>
    <n v="814474.81136000005"/>
    <n v="0"/>
    <x v="11"/>
    <m/>
    <m/>
    <m/>
    <m/>
    <m/>
    <m/>
    <m/>
    <m/>
    <m/>
    <m/>
    <m/>
    <m/>
    <m/>
    <m/>
    <m/>
  </r>
  <r>
    <x v="168"/>
    <x v="0"/>
    <s v="GFA"/>
    <s v="Guilherme/ Ainura"/>
    <s v="FL26 - Equipment acquistion through GFAs or direct negotiation with majro OEMs - Modular"/>
    <m/>
    <x v="0"/>
    <x v="0"/>
    <x v="0"/>
    <s v="Material"/>
    <s v="Directs"/>
    <s v="MINING EQUIPMENT"/>
    <x v="1"/>
    <x v="2"/>
    <s v="Budgeted"/>
    <d v="2026-01-01T00:00:00"/>
    <d v="2026-12-31T00:00:00"/>
    <m/>
    <n v="186023.53660000002"/>
    <n v="1041731.8049600001"/>
    <n v="0"/>
    <x v="11"/>
    <m/>
    <m/>
    <m/>
    <m/>
    <m/>
    <m/>
    <m/>
    <m/>
    <m/>
    <m/>
    <m/>
    <m/>
    <m/>
    <m/>
    <m/>
  </r>
  <r>
    <x v="169"/>
    <x v="0"/>
    <s v="GFA"/>
    <s v="Roger/ Ainura"/>
    <s v="FL26 - Equipment acquistion through GFAs or direct negotiation with majro OEMs - Flanders - Value Protection"/>
    <m/>
    <x v="0"/>
    <x v="0"/>
    <x v="0"/>
    <s v="Material"/>
    <s v="Directs"/>
    <s v="MINING EQUIPMENT"/>
    <x v="1"/>
    <x v="2"/>
    <s v="Budgeted"/>
    <d v="2026-01-01T00:00:00"/>
    <d v="2026-12-31T00:00:00"/>
    <m/>
    <n v="169459.82550000001"/>
    <n v="948975.02279999992"/>
    <n v="0"/>
    <x v="11"/>
    <m/>
    <m/>
    <m/>
    <m/>
    <m/>
    <m/>
    <m/>
    <m/>
    <m/>
    <m/>
    <m/>
    <m/>
    <m/>
    <m/>
    <m/>
  </r>
  <r>
    <x v="170"/>
    <x v="0"/>
    <s v="GFA"/>
    <s v="Guilherme/ Ainura"/>
    <s v="FL26 - Equipment acquistion through GFAs or direct negotiation with majro OEMs - Modular - Value Protection"/>
    <m/>
    <x v="0"/>
    <x v="0"/>
    <x v="0"/>
    <s v="Material"/>
    <s v="Directs"/>
    <s v="MINING EQUIPMENT"/>
    <x v="1"/>
    <x v="2"/>
    <s v="Budgeted"/>
    <d v="2026-01-01T00:00:00"/>
    <d v="2026-12-31T00:00:00"/>
    <m/>
    <n v="93011.768299999996"/>
    <n v="520865.90247999993"/>
    <n v="0"/>
    <x v="11"/>
    <m/>
    <m/>
    <m/>
    <m/>
    <m/>
    <m/>
    <m/>
    <m/>
    <m/>
    <m/>
    <m/>
    <m/>
    <m/>
    <m/>
    <m/>
  </r>
  <r>
    <x v="171"/>
    <x v="0"/>
    <s v="GFA"/>
    <s v="Odilon/Ainura"/>
    <s v="FL26 - Equipment acquistion through GFAs or direct negotiation with majro OEMs - Hexagon - Value Protection"/>
    <m/>
    <x v="0"/>
    <x v="1"/>
    <x v="1"/>
    <s v="Material"/>
    <s v="Indirects"/>
    <s v="IT"/>
    <x v="1"/>
    <x v="2"/>
    <s v="Budgeted"/>
    <d v="2026-01-01T00:00:00"/>
    <d v="2026-12-31T00:00:00"/>
    <m/>
    <n v="72720.965299999982"/>
    <n v="407237.40567999985"/>
    <n v="0"/>
    <x v="11"/>
    <m/>
    <m/>
    <m/>
    <m/>
    <m/>
    <m/>
    <m/>
    <m/>
    <m/>
    <m/>
    <m/>
    <m/>
    <m/>
    <m/>
    <m/>
  </r>
  <r>
    <x v="172"/>
    <x v="0"/>
    <s v="Contrato/pedido"/>
    <s v="Ketra"/>
    <s v=" AAPRJ20272 - D&amp;D - Teste básculas reman Esco"/>
    <m/>
    <x v="25"/>
    <x v="0"/>
    <x v="0"/>
    <s v="Services"/>
    <s v="Directs"/>
    <s v="MINING EQUIPMENT"/>
    <x v="0"/>
    <x v="0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73"/>
    <x v="0"/>
    <s v="Contrato/pedido"/>
    <s v="Ketra"/>
    <s v="FL26 - Serv.  Mont. e Desmont. de Andaimes_RIP"/>
    <m/>
    <x v="13"/>
    <x v="7"/>
    <x v="1"/>
    <s v="Services"/>
    <s v="Indirects"/>
    <m/>
    <x v="0"/>
    <x v="0"/>
    <s v="Un-budgeted"/>
    <d v="2026-08-01T00:00:00"/>
    <d v="2026-12-31T00:00:00"/>
    <m/>
    <n v="10908.31238839286"/>
    <n v="61086.54937500001"/>
    <n v="0"/>
    <x v="11"/>
    <m/>
    <m/>
    <m/>
    <m/>
    <m/>
    <m/>
    <m/>
    <m/>
    <m/>
    <m/>
    <m/>
    <m/>
    <m/>
    <m/>
    <m/>
  </r>
  <r>
    <x v="174"/>
    <x v="0"/>
    <s v="GFA"/>
    <s v="Desmobilizando"/>
    <s v="FL26 - GFA Parts discount - Epiroc - EBTIDA"/>
    <m/>
    <x v="0"/>
    <x v="0"/>
    <x v="0"/>
    <s v="Material"/>
    <s v="Directs"/>
    <s v="MINING EQUIPMENT"/>
    <x v="0"/>
    <x v="1"/>
    <s v="Budgeted"/>
    <d v="2026-01-01T00:00:00"/>
    <d v="2026-12-31T00:00:00"/>
    <m/>
    <n v="410780"/>
    <n v="2300368"/>
    <n v="0"/>
    <x v="11"/>
    <m/>
    <m/>
    <m/>
    <m/>
    <m/>
    <m/>
    <m/>
    <m/>
    <m/>
    <m/>
    <m/>
    <m/>
    <m/>
    <m/>
    <m/>
  </r>
  <r>
    <x v="175"/>
    <x v="0"/>
    <s v="Contrato/pedido"/>
    <s v="Ketra"/>
    <s v="FL26 - Serv. Planej. Atividades de Manutencao"/>
    <m/>
    <x v="13"/>
    <x v="7"/>
    <x v="1"/>
    <s v="Services"/>
    <s v="Indirects"/>
    <m/>
    <x v="0"/>
    <x v="0"/>
    <s v="Un-budgeted"/>
    <d v="2026-02-15T00:00:00"/>
    <d v="2026-12-01T00:00:00"/>
    <m/>
    <n v="37849.21875"/>
    <n v="211955.625"/>
    <n v="0"/>
    <x v="11"/>
    <m/>
    <m/>
    <m/>
    <m/>
    <m/>
    <m/>
    <m/>
    <m/>
    <m/>
    <m/>
    <m/>
    <m/>
    <m/>
    <m/>
    <m/>
  </r>
  <r>
    <x v="176"/>
    <x v="0"/>
    <s v="Contrato/pedido"/>
    <s v="Ketra"/>
    <s v="FL26 - SERVIcO DE PINTURA INDUSTRIAL SJB"/>
    <m/>
    <x v="13"/>
    <x v="7"/>
    <x v="1"/>
    <s v="Services"/>
    <s v="Indirects"/>
    <m/>
    <x v="0"/>
    <x v="0"/>
    <s v="Un-budgeted"/>
    <d v="2026-07-10T00:00:00"/>
    <d v="2026-12-01T00:00:00"/>
    <m/>
    <n v="9211.8957678571442"/>
    <n v="51586.616300000002"/>
    <n v="0"/>
    <x v="11"/>
    <m/>
    <m/>
    <m/>
    <m/>
    <m/>
    <m/>
    <m/>
    <m/>
    <m/>
    <m/>
    <m/>
    <m/>
    <m/>
    <m/>
    <m/>
  </r>
  <r>
    <x v="177"/>
    <x v="0"/>
    <s v="GFA"/>
    <s v="Roger/Adam Taylor"/>
    <s v="FL26 - GFA Parts Discount - Sandvik - EBITDA"/>
    <m/>
    <x v="0"/>
    <x v="0"/>
    <x v="0"/>
    <s v="Material"/>
    <s v="Directs"/>
    <s v="MINING EQUIPMENT"/>
    <x v="0"/>
    <x v="1"/>
    <s v="Budgeted"/>
    <d v="2026-01-01T00:00:00"/>
    <d v="2026-12-31T00:00:00"/>
    <m/>
    <n v="517315.00000000006"/>
    <n v="2896964"/>
    <n v="0"/>
    <x v="11"/>
    <m/>
    <m/>
    <m/>
    <m/>
    <m/>
    <m/>
    <m/>
    <m/>
    <m/>
    <m/>
    <m/>
    <m/>
    <m/>
    <m/>
    <m/>
  </r>
  <r>
    <x v="178"/>
    <x v="0"/>
    <s v="Contrato/pedido"/>
    <s v="Roger/Ana Abaga"/>
    <s v="FL26 - Replacemente of Cummins engine by MTU engine - MTU"/>
    <m/>
    <x v="0"/>
    <x v="0"/>
    <x v="0"/>
    <s v="Material"/>
    <s v="Directs"/>
    <s v="MINING EQUIPMENT"/>
    <x v="0"/>
    <x v="1"/>
    <s v="Budgeted"/>
    <d v="2026-01-01T00:00:00"/>
    <d v="2026-12-31T00:00:00"/>
    <m/>
    <n v="1088143.2577049192"/>
    <n v="6093602.2431475474"/>
    <n v="0"/>
    <x v="11"/>
    <m/>
    <m/>
    <m/>
    <m/>
    <m/>
    <m/>
    <m/>
    <m/>
    <m/>
    <m/>
    <m/>
    <m/>
    <m/>
    <m/>
    <m/>
  </r>
  <r>
    <x v="179"/>
    <x v="0"/>
    <s v="Contrato/pedido"/>
    <s v="Ketra"/>
    <s v="Redução de Custos via Alternativas Spot em Itens Contratados - Rolos e roletes "/>
    <m/>
    <x v="26"/>
    <x v="2"/>
    <x v="0"/>
    <s v="Material"/>
    <s v="Directs"/>
    <s v="PROCESSING"/>
    <x v="0"/>
    <x v="0"/>
    <s v="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80"/>
    <x v="0"/>
    <s v="Contrato/pedido"/>
    <s v="Ketra"/>
    <s v="FL26 - SERV. DE MANUT. PREDIAL E PEQUENAS OBRAS"/>
    <m/>
    <x v="13"/>
    <x v="7"/>
    <x v="1"/>
    <s v="Services"/>
    <s v="Indirects"/>
    <m/>
    <x v="0"/>
    <x v="1"/>
    <s v="Un-budgeted"/>
    <d v="2026-08-15T00:00:00"/>
    <d v="2026-12-01T00:00:00"/>
    <m/>
    <n v="44576.958364955353"/>
    <n v="249630.96684374995"/>
    <n v="0"/>
    <x v="11"/>
    <m/>
    <m/>
    <m/>
    <m/>
    <m/>
    <m/>
    <m/>
    <m/>
    <m/>
    <m/>
    <m/>
    <m/>
    <m/>
    <m/>
    <m/>
  </r>
  <r>
    <x v="181"/>
    <x v="0"/>
    <s v="Contrato/pedido"/>
    <s v="Ketra"/>
    <s v="FL26 - Analises estruturais - LPC"/>
    <m/>
    <x v="13"/>
    <x v="7"/>
    <x v="1"/>
    <s v="Services"/>
    <s v="Indirects"/>
    <m/>
    <x v="0"/>
    <x v="1"/>
    <s v="Un-budgeted"/>
    <d v="2026-01-01T00:00:00"/>
    <d v="2026-08-31T00:00:00"/>
    <m/>
    <n v="8997.439821428572"/>
    <n v="50385.663"/>
    <n v="0"/>
    <x v="11"/>
    <m/>
    <m/>
    <m/>
    <m/>
    <m/>
    <m/>
    <m/>
    <m/>
    <m/>
    <m/>
    <m/>
    <m/>
    <m/>
    <m/>
    <m/>
  </r>
  <r>
    <x v="182"/>
    <x v="0"/>
    <s v="Contrato/pedido"/>
    <s v="Ketra"/>
    <s v="FL26 - Gestao PMO"/>
    <m/>
    <x v="20"/>
    <x v="7"/>
    <x v="1"/>
    <s v="Services"/>
    <s v="Indirects"/>
    <m/>
    <x v="0"/>
    <x v="0"/>
    <s v="Un-budgeted"/>
    <d v="2026-01-01T00:00:00"/>
    <d v="2026-12-31T00:00:00"/>
    <m/>
    <n v="15166.717264285717"/>
    <n v="84933.616680000006"/>
    <n v="0"/>
    <x v="11"/>
    <m/>
    <m/>
    <m/>
    <m/>
    <m/>
    <m/>
    <m/>
    <m/>
    <m/>
    <m/>
    <m/>
    <m/>
    <m/>
    <m/>
    <m/>
  </r>
  <r>
    <x v="183"/>
    <x v="0"/>
    <s v="Contrato/pedido"/>
    <s v="Ketra"/>
    <s v="FL26 - Negociacoes menores Lucas"/>
    <m/>
    <x v="20"/>
    <x v="7"/>
    <x v="1"/>
    <s v="Services"/>
    <s v="Indirects"/>
    <m/>
    <x v="0"/>
    <x v="0"/>
    <s v="Un-budgeted"/>
    <d v="2026-01-01T00:00:00"/>
    <d v="2026-12-31T00:00:00"/>
    <m/>
    <n v="65510.682589285723"/>
    <n v="366859.82250000001"/>
    <n v="0"/>
    <x v="11"/>
    <m/>
    <m/>
    <m/>
    <m/>
    <m/>
    <m/>
    <m/>
    <m/>
    <m/>
    <m/>
    <m/>
    <m/>
    <m/>
    <m/>
    <m/>
  </r>
  <r>
    <x v="184"/>
    <x v="0"/>
    <s v="Contrato/pedido"/>
    <s v="Ketra"/>
    <s v="FL26 - SERV DE ARMAZENAGEM EXTERNA"/>
    <m/>
    <x v="20"/>
    <x v="7"/>
    <x v="1"/>
    <s v="Services"/>
    <s v="Indirects"/>
    <m/>
    <x v="0"/>
    <x v="0"/>
    <s v="Un-budgeted"/>
    <d v="2026-09-01T00:00:00"/>
    <d v="2026-12-01T00:00:00"/>
    <m/>
    <n v="15376.428571428574"/>
    <n v="86108.000000000015"/>
    <n v="0"/>
    <x v="11"/>
    <m/>
    <m/>
    <m/>
    <m/>
    <m/>
    <m/>
    <m/>
    <m/>
    <m/>
    <m/>
    <m/>
    <m/>
    <m/>
    <m/>
    <m/>
  </r>
  <r>
    <x v="185"/>
    <x v="0"/>
    <s v="Contrato/pedido"/>
    <s v="Ketra"/>
    <s v="FL26 - Calibracao estacões roboticas - Hexagon"/>
    <m/>
    <x v="20"/>
    <x v="7"/>
    <x v="1"/>
    <s v="Services"/>
    <s v="Indirects"/>
    <s v="IT"/>
    <x v="0"/>
    <x v="0"/>
    <s v="Un-budgeted"/>
    <d v="2026-01-01T00:00:00"/>
    <d v="2026-10-30T00:00:00"/>
    <m/>
    <n v="25781.939732142855"/>
    <n v="144378.86249999999"/>
    <n v="0"/>
    <x v="11"/>
    <m/>
    <m/>
    <m/>
    <m/>
    <m/>
    <m/>
    <m/>
    <m/>
    <m/>
    <m/>
    <m/>
    <m/>
    <m/>
    <m/>
    <m/>
  </r>
  <r>
    <x v="186"/>
    <x v="0"/>
    <s v="Contrato/pedido"/>
    <s v="Ketra"/>
    <s v="Ensaio não destrutivo Mistras"/>
    <m/>
    <x v="20"/>
    <x v="7"/>
    <x v="1"/>
    <s v="Services"/>
    <s v="Indirects"/>
    <m/>
    <x v="0"/>
    <x v="0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87"/>
    <x v="0"/>
    <s v="Contrato/pedido"/>
    <s v="Ketra"/>
    <s v="RAC KIDDE"/>
    <m/>
    <x v="13"/>
    <x v="7"/>
    <x v="1"/>
    <s v="Services"/>
    <s v="Indirects"/>
    <m/>
    <x v="0"/>
    <x v="1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188"/>
    <x v="0"/>
    <s v="Contrato/pedido"/>
    <s v="Ketra - material e contrato"/>
    <s v="FL26 - Amendment FLS_Spare Parts and Take or Pay negotiation"/>
    <m/>
    <x v="14"/>
    <x v="2"/>
    <x v="0"/>
    <s v="Material"/>
    <s v="Directs"/>
    <s v="PROCESSING"/>
    <x v="0"/>
    <x v="0"/>
    <s v="Un-budgeted"/>
    <d v="2026-01-01T00:00:00"/>
    <d v="2026-12-31T00:00:00"/>
    <m/>
    <n v="157142.85714285716"/>
    <n v="880000"/>
    <n v="0"/>
    <x v="11"/>
    <m/>
    <m/>
    <m/>
    <m/>
    <m/>
    <m/>
    <m/>
    <m/>
    <m/>
    <m/>
    <m/>
    <m/>
    <m/>
    <m/>
    <m/>
  </r>
  <r>
    <x v="189"/>
    <x v="0"/>
    <s v="Contrato/pedido"/>
    <s v="Ketra - material e contrato"/>
    <s v="FL26 - New BID for new Test Development of  HPGR - D&amp;D"/>
    <m/>
    <x v="14"/>
    <x v="2"/>
    <x v="0"/>
    <s v="Material"/>
    <s v="Directs"/>
    <s v="PROCESSING"/>
    <x v="0"/>
    <x v="0"/>
    <s v="Un-budgeted"/>
    <d v="2026-10-01T00:00:00"/>
    <d v="2026-12-31T00:00:00"/>
    <m/>
    <n v="700000"/>
    <n v="3919999.9999999995"/>
    <n v="0"/>
    <x v="11"/>
    <m/>
    <m/>
    <m/>
    <m/>
    <m/>
    <m/>
    <m/>
    <m/>
    <m/>
    <m/>
    <m/>
    <m/>
    <m/>
    <m/>
    <m/>
  </r>
  <r>
    <x v="190"/>
    <x v="0"/>
    <s v="Contrato/pedido"/>
    <s v="Ketra"/>
    <s v="FL26 - Reducao de Custos Mining Services"/>
    <m/>
    <x v="16"/>
    <x v="4"/>
    <x v="0"/>
    <s v="Services"/>
    <s v="Directs"/>
    <s v="MINING SERVICES"/>
    <x v="0"/>
    <x v="0"/>
    <s v="Un-budgeted"/>
    <d v="2026-01-01T00:00:00"/>
    <d v="2026-12-31T00:00:00"/>
    <m/>
    <n v="466071.42857142858"/>
    <n v="2610000"/>
    <n v="211748.18392857147"/>
    <x v="120"/>
    <m/>
    <m/>
    <m/>
    <n v="0"/>
    <n v="0"/>
    <n v="0"/>
    <n v="0"/>
    <n v="0"/>
    <n v="0"/>
    <n v="211748.18392857147"/>
    <m/>
    <m/>
    <m/>
    <m/>
    <m/>
  </r>
  <r>
    <x v="191"/>
    <x v="0"/>
    <s v="Contrato/pedido"/>
    <s v="Ketra - material e contrato"/>
    <s v="FL26 - New BID Weir  Spare Parts"/>
    <m/>
    <x v="14"/>
    <x v="2"/>
    <x v="0"/>
    <s v="Material"/>
    <s v="Directs"/>
    <s v="PROCESSING"/>
    <x v="0"/>
    <x v="0"/>
    <s v="Un-budgeted"/>
    <d v="2026-02-01T00:00:00"/>
    <d v="2027-01-31T00:00:00"/>
    <m/>
    <n v="159107.14285714287"/>
    <n v="891000"/>
    <n v="0"/>
    <x v="11"/>
    <m/>
    <m/>
    <m/>
    <m/>
    <m/>
    <m/>
    <m/>
    <m/>
    <m/>
    <m/>
    <m/>
    <m/>
    <m/>
    <m/>
    <m/>
  </r>
  <r>
    <x v="192"/>
    <x v="0"/>
    <s v="Travel"/>
    <s v="Liana Goddard"/>
    <s v="FL26_IOB_Air Savings_Travel"/>
    <m/>
    <x v="27"/>
    <x v="9"/>
    <x v="4"/>
    <s v="Services"/>
    <s v="Indirects"/>
    <m/>
    <x v="0"/>
    <x v="1"/>
    <s v="Un-budgeted"/>
    <d v="2026-01-01T00:00:00"/>
    <d v="2026-12-31T00:00:00"/>
    <m/>
    <n v="50000"/>
    <n v="280000"/>
    <n v="0"/>
    <x v="11"/>
    <m/>
    <m/>
    <m/>
    <m/>
    <m/>
    <m/>
    <m/>
    <m/>
    <m/>
    <m/>
    <m/>
    <m/>
    <m/>
    <m/>
    <m/>
  </r>
  <r>
    <x v="193"/>
    <x v="0"/>
    <s v="Contrato/pedido"/>
    <s v="Ketra"/>
    <s v="FL26 - Negociacoes menores Nazare"/>
    <m/>
    <x v="28"/>
    <x v="7"/>
    <x v="1"/>
    <s v="Services"/>
    <s v="Indirects"/>
    <m/>
    <x v="0"/>
    <x v="0"/>
    <s v="Un-budgeted"/>
    <d v="2026-02-01T00:00:00"/>
    <d v="2027-01-31T00:00:00"/>
    <m/>
    <n v="27536.55"/>
    <n v="154204.68"/>
    <n v="0"/>
    <x v="11"/>
    <m/>
    <m/>
    <m/>
    <m/>
    <m/>
    <m/>
    <m/>
    <m/>
    <m/>
    <m/>
    <m/>
    <m/>
    <m/>
    <m/>
    <m/>
  </r>
  <r>
    <x v="194"/>
    <x v="0"/>
    <s v="Contrato/pedido"/>
    <s v="Ketra"/>
    <s v="FL26 - SERV. ELABORAcaO DE DESENHO"/>
    <m/>
    <x v="28"/>
    <x v="7"/>
    <x v="1"/>
    <s v="Services"/>
    <s v="Indirects"/>
    <m/>
    <x v="0"/>
    <x v="0"/>
    <s v="Un-budgeted"/>
    <d v="2026-02-01T00:00:00"/>
    <d v="2026-12-01T00:00:00"/>
    <m/>
    <n v="16658.868279575894"/>
    <n v="93289.662365625001"/>
    <n v="0"/>
    <x v="11"/>
    <m/>
    <m/>
    <m/>
    <m/>
    <m/>
    <m/>
    <m/>
    <m/>
    <m/>
    <m/>
    <m/>
    <m/>
    <m/>
    <m/>
    <m/>
  </r>
  <r>
    <x v="195"/>
    <x v="0"/>
    <s v="Contrato/pedido"/>
    <s v="Ketra"/>
    <s v="FL26 - Servicos de analise estrutural"/>
    <m/>
    <x v="28"/>
    <x v="7"/>
    <x v="1"/>
    <s v="Services"/>
    <s v="Indirects"/>
    <m/>
    <x v="0"/>
    <x v="0"/>
    <s v="Un-budgeted"/>
    <d v="2026-05-15T00:00:00"/>
    <d v="2026-12-01T00:00:00"/>
    <m/>
    <n v="8354.4144006696442"/>
    <n v="46784.720643750006"/>
    <n v="0"/>
    <x v="11"/>
    <m/>
    <m/>
    <m/>
    <m/>
    <m/>
    <m/>
    <m/>
    <m/>
    <m/>
    <m/>
    <m/>
    <m/>
    <m/>
    <m/>
    <m/>
  </r>
  <r>
    <x v="196"/>
    <x v="0"/>
    <s v="Contrato/pedido"/>
    <s v="Ketra"/>
    <s v="FL26 - Reducao de Custos Reforma Externa"/>
    <m/>
    <x v="6"/>
    <x v="4"/>
    <x v="0"/>
    <s v="Services"/>
    <s v="Directs"/>
    <s v="MINING EQUIPMENT"/>
    <x v="0"/>
    <x v="0"/>
    <s v="Un-budgeted"/>
    <d v="2026-01-01T00:00:00"/>
    <d v="2026-12-31T00:00:00"/>
    <m/>
    <n v="1035892.8571428572"/>
    <n v="5801000"/>
    <n v="31062.000000000044"/>
    <x v="121"/>
    <m/>
    <m/>
    <m/>
    <n v="15531.000000000002"/>
    <n v="0"/>
    <n v="0"/>
    <n v="0"/>
    <n v="3356.7196428571433"/>
    <n v="12174.280357142899"/>
    <m/>
    <m/>
    <m/>
    <m/>
    <m/>
    <m/>
  </r>
  <r>
    <x v="197"/>
    <x v="0"/>
    <s v="Contrato/pedido"/>
    <s v="Ketra"/>
    <s v="FL26 - 1 TAC Manserv 4600038939/4600041496 - Full facilities IOB"/>
    <m/>
    <x v="1"/>
    <x v="1"/>
    <x v="1"/>
    <s v="Services"/>
    <s v="Indirects"/>
    <s v="FACILITIES MANAGEMENT"/>
    <x v="0"/>
    <x v="0"/>
    <s v="Un-budgeted"/>
    <d v="2026-01-14T00:00:00"/>
    <d v="2029-02-01T00:00:00"/>
    <m/>
    <n v="19764.510625000003"/>
    <n v="110681.25950000001"/>
    <n v="0"/>
    <x v="11"/>
    <m/>
    <m/>
    <m/>
    <m/>
    <m/>
    <m/>
    <m/>
    <m/>
    <m/>
    <m/>
    <m/>
    <m/>
    <m/>
    <m/>
    <m/>
  </r>
  <r>
    <x v="198"/>
    <x v="1"/>
    <s v="Contrato/pedido"/>
    <s v="Ketra"/>
    <s v="FL26 - 3 TAC Unimar 4600028703 - Negociacao Reajuste 2025 (1,65%)"/>
    <m/>
    <x v="1"/>
    <x v="1"/>
    <x v="1"/>
    <s v="Services"/>
    <s v="Indirects"/>
    <s v="TRANSPORT &amp; LOGISTICS"/>
    <x v="0"/>
    <x v="0"/>
    <s v="Un-budgeted"/>
    <d v="2026-01-01T00:00:00"/>
    <d v="2026-02-28T00:00:00"/>
    <m/>
    <n v="16062.71712735714"/>
    <n v="89951.21591319998"/>
    <n v="0"/>
    <x v="11"/>
    <m/>
    <m/>
    <m/>
    <m/>
    <m/>
    <m/>
    <m/>
    <m/>
    <m/>
    <m/>
    <m/>
    <m/>
    <m/>
    <m/>
    <m/>
  </r>
  <r>
    <x v="199"/>
    <x v="0"/>
    <s v="Travel"/>
    <s v="Liana Goddard"/>
    <s v="FL26_IOB_Hotel_Travel_EBITDA"/>
    <m/>
    <x v="27"/>
    <x v="9"/>
    <x v="4"/>
    <s v="Services"/>
    <s v="Indirects"/>
    <m/>
    <x v="0"/>
    <x v="1"/>
    <s v="Un-budgeted"/>
    <d v="2026-01-01T00:00:00"/>
    <d v="2026-12-31T00:00:00"/>
    <m/>
    <n v="20000"/>
    <n v="112000"/>
    <n v="0"/>
    <x v="11"/>
    <m/>
    <m/>
    <m/>
    <m/>
    <m/>
    <m/>
    <m/>
    <m/>
    <m/>
    <m/>
    <m/>
    <m/>
    <m/>
    <m/>
    <m/>
  </r>
  <r>
    <x v="200"/>
    <x v="1"/>
    <s v="Contrato/pedido"/>
    <s v="Ketra - material e contrato"/>
    <s v="FL26 - Alternative Parts of Valves Seat set - D&amp;D"/>
    <m/>
    <x v="14"/>
    <x v="2"/>
    <x v="0"/>
    <s v="Material"/>
    <s v="Directs"/>
    <s v="PROCESSING"/>
    <x v="0"/>
    <x v="1"/>
    <s v="Budgeted"/>
    <d v="2026-01-01T00:00:00"/>
    <d v="2026-09-01T00:00:00"/>
    <m/>
    <n v="1307142.8571428573"/>
    <n v="7320000"/>
    <n v="0"/>
    <x v="11"/>
    <m/>
    <m/>
    <m/>
    <m/>
    <m/>
    <m/>
    <m/>
    <m/>
    <m/>
    <m/>
    <m/>
    <m/>
    <m/>
    <m/>
    <m/>
  </r>
  <r>
    <x v="201"/>
    <x v="0"/>
    <s v="Contrato/pedido"/>
    <s v="Entender com Matheus Rosa"/>
    <s v="FL26 - Aquisicao de Equipamentos com Reman e credito de ICMS"/>
    <m/>
    <x v="6"/>
    <x v="4"/>
    <x v="0"/>
    <s v="Material"/>
    <s v="Directs"/>
    <s v="MINING EQUIPMENT"/>
    <x v="0"/>
    <x v="1"/>
    <s v="Un-budgeted"/>
    <d v="2026-01-01T00:00:00"/>
    <d v="2026-12-31T00:00:00"/>
    <m/>
    <n v="334821.42857142858"/>
    <n v="1875000"/>
    <n v="0"/>
    <x v="11"/>
    <m/>
    <m/>
    <m/>
    <m/>
    <m/>
    <m/>
    <m/>
    <m/>
    <m/>
    <m/>
    <m/>
    <m/>
    <m/>
    <m/>
    <m/>
  </r>
  <r>
    <x v="202"/>
    <x v="4"/>
    <s v="Contrato/pedido"/>
    <s v="Ketra"/>
    <s v="FT - 1º Aditivo Emive - 4600034211"/>
    <m/>
    <x v="1"/>
    <x v="1"/>
    <x v="1"/>
    <s v="Services"/>
    <s v="Indirects"/>
    <s v="FACILITIES MANAGEMENT"/>
    <x v="0"/>
    <x v="0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203"/>
    <x v="0"/>
    <s v="Contrato/pedido"/>
    <s v="Ketra"/>
    <s v="FL26 - Gestao e Manut. Ferramentas/Torque_GMU"/>
    <m/>
    <x v="29"/>
    <x v="7"/>
    <x v="1"/>
    <s v="Services"/>
    <s v="Indirects"/>
    <m/>
    <x v="0"/>
    <x v="0"/>
    <s v="Un-budgeted"/>
    <d v="2026-01-01T00:00:00"/>
    <d v="2026-12-31T00:00:00"/>
    <m/>
    <n v="40866.107142857145"/>
    <n v="228850.2"/>
    <n v="0"/>
    <x v="11"/>
    <m/>
    <m/>
    <m/>
    <m/>
    <m/>
    <m/>
    <m/>
    <m/>
    <m/>
    <m/>
    <m/>
    <m/>
    <m/>
    <m/>
    <m/>
  </r>
  <r>
    <x v="204"/>
    <x v="0"/>
    <s v="Contrato/pedido"/>
    <s v="Ketra"/>
    <s v="FL26 - Manutencao de geradores Filtragem rejeitos"/>
    <m/>
    <x v="29"/>
    <x v="7"/>
    <x v="1"/>
    <s v="Services"/>
    <s v="Indirects"/>
    <m/>
    <x v="0"/>
    <x v="0"/>
    <s v="Un-budgeted"/>
    <d v="2026-02-01T00:00:00"/>
    <d v="2026-12-01T00:00:00"/>
    <m/>
    <n v="23874.069999999901"/>
    <n v="133694.79199999943"/>
    <n v="0"/>
    <x v="11"/>
    <m/>
    <m/>
    <m/>
    <m/>
    <m/>
    <m/>
    <m/>
    <m/>
    <m/>
    <m/>
    <m/>
    <m/>
    <m/>
    <m/>
    <m/>
  </r>
  <r>
    <x v="205"/>
    <x v="1"/>
    <s v="Contrato/pedido"/>
    <s v="Ketra"/>
    <s v="FL26 - FL-25 - 4600038940/4600041527  - Full Facilities  IOB - Port - 12787888"/>
    <m/>
    <x v="1"/>
    <x v="1"/>
    <x v="1"/>
    <s v="Services"/>
    <s v="Indirects"/>
    <s v="FACILITIES MANAGEMENT"/>
    <x v="0"/>
    <x v="1"/>
    <s v="Un-budgeted"/>
    <d v="2026-01-01T00:00:00"/>
    <d v="2026-01-31T00:00:00"/>
    <m/>
    <n v="2743.7497789115605"/>
    <n v="15364.998761904737"/>
    <n v="0"/>
    <x v="11"/>
    <m/>
    <m/>
    <m/>
    <m/>
    <m/>
    <m/>
    <m/>
    <m/>
    <m/>
    <m/>
    <m/>
    <m/>
    <m/>
    <m/>
    <m/>
  </r>
  <r>
    <x v="206"/>
    <x v="0"/>
    <s v="Contrato/pedido"/>
    <s v="Ketra"/>
    <s v="FL26 - Manutencao Retrofit"/>
    <m/>
    <x v="29"/>
    <x v="7"/>
    <x v="1"/>
    <s v="Services"/>
    <s v="Indirects"/>
    <m/>
    <x v="0"/>
    <x v="0"/>
    <s v="Un-budgeted"/>
    <d v="2026-06-01T00:00:00"/>
    <d v="2026-12-01T00:00:00"/>
    <m/>
    <n v="9068.6116071428587"/>
    <n v="50784.225000000006"/>
    <n v="0"/>
    <x v="11"/>
    <m/>
    <m/>
    <m/>
    <m/>
    <m/>
    <m/>
    <m/>
    <m/>
    <m/>
    <m/>
    <m/>
    <m/>
    <m/>
    <m/>
    <m/>
  </r>
  <r>
    <x v="207"/>
    <x v="0"/>
    <s v="Contrato/pedido"/>
    <s v="Ketra"/>
    <s v="FL26 - Negociacoes menores Thiago"/>
    <m/>
    <x v="29"/>
    <x v="7"/>
    <x v="1"/>
    <s v="Services"/>
    <s v="Indirects"/>
    <m/>
    <x v="0"/>
    <x v="0"/>
    <s v="Un-budgeted"/>
    <d v="2026-01-01T00:00:00"/>
    <d v="2026-12-31T00:00:00"/>
    <m/>
    <n v="39814.238169642864"/>
    <n v="222959.73375000001"/>
    <n v="0"/>
    <x v="11"/>
    <m/>
    <m/>
    <m/>
    <m/>
    <m/>
    <m/>
    <m/>
    <m/>
    <m/>
    <m/>
    <m/>
    <m/>
    <m/>
    <m/>
    <m/>
  </r>
  <r>
    <x v="208"/>
    <x v="0"/>
    <s v="Contrato/pedido"/>
    <s v="Ketra"/>
    <s v="FL26 - Servico de Inspecao Mecanica - Tubulacao"/>
    <m/>
    <x v="29"/>
    <x v="7"/>
    <x v="1"/>
    <s v="Services"/>
    <s v="Indirects"/>
    <m/>
    <x v="0"/>
    <x v="0"/>
    <s v="Un-budgeted"/>
    <d v="2026-06-01T00:00:00"/>
    <d v="2026-12-01T00:00:00"/>
    <m/>
    <n v="8151.9147321428572"/>
    <n v="45650.722499999996"/>
    <n v="0"/>
    <x v="11"/>
    <m/>
    <m/>
    <m/>
    <m/>
    <m/>
    <m/>
    <m/>
    <m/>
    <m/>
    <m/>
    <m/>
    <m/>
    <m/>
    <m/>
    <m/>
  </r>
  <r>
    <x v="209"/>
    <x v="0"/>
    <s v="Contrato/pedido"/>
    <s v="Ketra"/>
    <s v="FL26 - Aditivo Ultra engenharia"/>
    <m/>
    <x v="29"/>
    <x v="7"/>
    <x v="1"/>
    <s v="Services"/>
    <s v="Indirects"/>
    <m/>
    <x v="0"/>
    <x v="0"/>
    <s v="Un-budgeted"/>
    <d v="2026-01-01T00:00:00"/>
    <d v="2026-09-30T00:00:00"/>
    <m/>
    <n v="27548.703080357147"/>
    <n v="154272.73725000001"/>
    <n v="0"/>
    <x v="11"/>
    <m/>
    <m/>
    <m/>
    <m/>
    <m/>
    <m/>
    <m/>
    <m/>
    <m/>
    <m/>
    <m/>
    <m/>
    <m/>
    <m/>
    <m/>
  </r>
  <r>
    <x v="210"/>
    <x v="0"/>
    <s v="Contrato/pedido"/>
    <s v="Ketra"/>
    <s v="FL26 - Reducao de Custos Contratos Oficina"/>
    <m/>
    <x v="30"/>
    <x v="4"/>
    <x v="0"/>
    <s v="Services"/>
    <s v="Directs"/>
    <s v="MINING SERVICES"/>
    <x v="0"/>
    <x v="0"/>
    <s v="Un-budgeted"/>
    <d v="2026-01-01T00:00:00"/>
    <d v="2026-12-31T00:00:00"/>
    <m/>
    <n v="135285.71428571429"/>
    <n v="757600"/>
    <n v="0"/>
    <x v="11"/>
    <m/>
    <m/>
    <m/>
    <m/>
    <m/>
    <m/>
    <m/>
    <m/>
    <m/>
    <m/>
    <m/>
    <m/>
    <m/>
    <m/>
    <m/>
  </r>
  <r>
    <x v="211"/>
    <x v="0"/>
    <s v="Contrato/pedido"/>
    <s v="Ketra"/>
    <s v="FL26 - Renegociacao Rejustes Oficina"/>
    <m/>
    <x v="30"/>
    <x v="4"/>
    <x v="0"/>
    <s v="Services"/>
    <s v="Directs"/>
    <s v="MINING SERVICES"/>
    <x v="0"/>
    <x v="0"/>
    <s v="Un-budgeted"/>
    <d v="2026-01-01T00:00:00"/>
    <d v="2026-12-31T00:00:00"/>
    <m/>
    <n v="7142.8571428571431"/>
    <n v="40000"/>
    <n v="0"/>
    <x v="11"/>
    <m/>
    <m/>
    <m/>
    <m/>
    <m/>
    <m/>
    <m/>
    <m/>
    <m/>
    <m/>
    <m/>
    <m/>
    <m/>
    <m/>
    <m/>
  </r>
  <r>
    <x v="212"/>
    <x v="0"/>
    <s v="Contrato/pedido"/>
    <s v="Ketra"/>
    <s v="FL26 - Novo Bid Alimentacao IOB - 5% negociacao (MPAT - com equipamentos)"/>
    <m/>
    <x v="17"/>
    <x v="1"/>
    <x v="1"/>
    <s v="Services"/>
    <s v="Indirects"/>
    <s v="HR SERVICES"/>
    <x v="0"/>
    <x v="0"/>
    <s v="Un-budgeted"/>
    <d v="2026-06-01T00:00:00"/>
    <d v="2027-05-31T00:00:00"/>
    <m/>
    <n v="119212.50000000001"/>
    <n v="667590"/>
    <n v="0"/>
    <x v="11"/>
    <m/>
    <m/>
    <m/>
    <m/>
    <m/>
    <m/>
    <m/>
    <m/>
    <m/>
    <m/>
    <m/>
    <m/>
    <m/>
    <m/>
    <m/>
  </r>
  <r>
    <x v="213"/>
    <x v="0"/>
    <s v="Contrato/pedido"/>
    <s v="Ketra - contrato "/>
    <s v="FL26 - Manutencao Eletromecanica"/>
    <m/>
    <x v="29"/>
    <x v="7"/>
    <x v="1"/>
    <s v="Services"/>
    <s v="Indirects"/>
    <m/>
    <x v="0"/>
    <x v="1"/>
    <s v="Un-budgeted"/>
    <d v="2026-03-01T00:00:00"/>
    <d v="2026-12-31T00:00:00"/>
    <m/>
    <n v="129750.47836232143"/>
    <n v="726602.67882899998"/>
    <n v="0"/>
    <x v="11"/>
    <m/>
    <m/>
    <m/>
    <m/>
    <m/>
    <m/>
    <m/>
    <m/>
    <m/>
    <m/>
    <m/>
    <m/>
    <m/>
    <m/>
    <m/>
  </r>
  <r>
    <x v="214"/>
    <x v="0"/>
    <s v="Contrato/pedido"/>
    <s v="Ketra - contrato "/>
    <s v="FL26 - Novo Bid Alimentacao IOB - premissa reducao 4,06% (sem equipamentos) - de Sodexo para Sapore"/>
    <m/>
    <x v="17"/>
    <x v="1"/>
    <x v="1"/>
    <s v="Services"/>
    <s v="Indirects"/>
    <s v="HR SERVICES"/>
    <x v="0"/>
    <x v="1"/>
    <s v="Budgeted"/>
    <d v="2026-06-01T00:00:00"/>
    <d v="2027-05-31T00:00:00"/>
    <m/>
    <n v="113883.00000000001"/>
    <n v="637744.80000000005"/>
    <n v="0"/>
    <x v="11"/>
    <m/>
    <m/>
    <m/>
    <m/>
    <m/>
    <m/>
    <m/>
    <m/>
    <m/>
    <m/>
    <m/>
    <m/>
    <m/>
    <m/>
    <m/>
  </r>
  <r>
    <x v="215"/>
    <x v="4"/>
    <s v="Contrato/pedido"/>
    <s v="Ketra"/>
    <s v="FT26 - Plano De Saúde IOB - 4,71% - 11 Meses"/>
    <n v="4600046360"/>
    <x v="17"/>
    <x v="1"/>
    <x v="1"/>
    <s v="Services"/>
    <s v="Indirects"/>
    <s v="HR SERVICES"/>
    <x v="0"/>
    <x v="0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216"/>
    <x v="0"/>
    <s v="Contrato/pedido"/>
    <s v="Ketra"/>
    <s v="Contratação de mão de obra especializada na área de Suprimentos 4600039487"/>
    <m/>
    <x v="17"/>
    <x v="1"/>
    <x v="1"/>
    <s v="Services"/>
    <s v="Indirects"/>
    <s v="HR SERVICES"/>
    <x v="0"/>
    <x v="1"/>
    <s v="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217"/>
    <x v="0"/>
    <s v="Insumos"/>
    <s v="Vitor"/>
    <s v="FL26 - Ceramic Plate Testing – CEC Mining "/>
    <m/>
    <x v="9"/>
    <x v="2"/>
    <x v="0"/>
    <s v="Material"/>
    <s v="Directs"/>
    <s v="PROCESSING"/>
    <x v="0"/>
    <x v="1"/>
    <s v="Un-budgeted"/>
    <d v="2026-03-01T00:00:00"/>
    <d v="2026-07-01T00:00:00"/>
    <m/>
    <n v="43071.428571428572"/>
    <n v="241200"/>
    <n v="0"/>
    <x v="11"/>
    <m/>
    <m/>
    <m/>
    <m/>
    <m/>
    <m/>
    <m/>
    <m/>
    <m/>
    <m/>
    <m/>
    <m/>
    <m/>
    <m/>
    <m/>
  </r>
  <r>
    <x v="218"/>
    <x v="0"/>
    <s v="Insumos"/>
    <s v="Vitor"/>
    <s v="FL26 - Ceramic Plate Testing – Metso – Acquisition at No Cost"/>
    <m/>
    <x v="9"/>
    <x v="2"/>
    <x v="0"/>
    <s v="Material"/>
    <s v="Directs"/>
    <s v="PROCESSING"/>
    <x v="0"/>
    <x v="1"/>
    <s v="Un-budgeted"/>
    <d v="2026-03-01T00:00:00"/>
    <d v="2026-05-01T00:00:00"/>
    <m/>
    <n v="157500"/>
    <n v="882000"/>
    <n v="0"/>
    <x v="11"/>
    <m/>
    <m/>
    <m/>
    <m/>
    <m/>
    <m/>
    <m/>
    <m/>
    <m/>
    <m/>
    <m/>
    <m/>
    <m/>
    <m/>
    <m/>
  </r>
  <r>
    <x v="219"/>
    <x v="0"/>
    <s v="Insumos"/>
    <s v="Basket"/>
    <s v="FL26 - Primary Grinding Media Reduction – Break Bulk Transportation"/>
    <m/>
    <x v="9"/>
    <x v="2"/>
    <x v="0"/>
    <s v="Material"/>
    <s v="Directs"/>
    <s v="PROCESSING"/>
    <x v="0"/>
    <x v="1"/>
    <s v="Un-budgeted"/>
    <d v="2026-05-01T00:00:00"/>
    <d v="2026-12-01T00:00:00"/>
    <m/>
    <n v="119047.61904761905"/>
    <n v="666666.66666666663"/>
    <n v="0"/>
    <x v="11"/>
    <m/>
    <m/>
    <m/>
    <m/>
    <m/>
    <m/>
    <m/>
    <m/>
    <m/>
    <m/>
    <m/>
    <m/>
    <m/>
    <m/>
    <m/>
  </r>
  <r>
    <x v="220"/>
    <x v="0"/>
    <s v="Insumos"/>
    <s v="Vitor"/>
    <s v="Ceramic Plate Testing - REFRACTRON TECHNOLOGIES CORP"/>
    <m/>
    <x v="9"/>
    <x v="2"/>
    <x v="0"/>
    <s v="Material"/>
    <s v="Directs"/>
    <s v="PROCESSING"/>
    <x v="0"/>
    <x v="1"/>
    <s v="Un-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221"/>
    <x v="0"/>
    <s v="Contrato/pedido"/>
    <s v="Ketra"/>
    <s v="BID - Materiais e Serviços HPGR"/>
    <m/>
    <x v="14"/>
    <x v="2"/>
    <x v="0"/>
    <s v="Material"/>
    <s v="Directs"/>
    <s v="PROCESSING"/>
    <x v="0"/>
    <x v="1"/>
    <s v="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222"/>
    <x v="0"/>
    <s v="Contrato/pedido"/>
    <s v="Ketra"/>
    <s v="4600047463 - Novo contrato Weir (Price List) "/>
    <m/>
    <x v="14"/>
    <x v="2"/>
    <x v="0"/>
    <s v="Material"/>
    <s v="Directs"/>
    <s v="PROCESSING"/>
    <x v="0"/>
    <x v="1"/>
    <s v="Budgeted"/>
    <d v="2026-01-01T00:00:00"/>
    <d v="2026-12-01T00:00:00"/>
    <m/>
    <n v="0"/>
    <n v="0"/>
    <n v="0"/>
    <x v="11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  <r>
    <x v="201"/>
    <x v="3"/>
    <m/>
    <m/>
    <m/>
    <m/>
    <x v="31"/>
    <x v="10"/>
    <x v="5"/>
    <m/>
    <m/>
    <m/>
    <x v="2"/>
    <x v="3"/>
    <m/>
    <m/>
    <m/>
    <m/>
    <m/>
    <m/>
    <m/>
    <x v="122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CFBE7-9C99-4C56-824D-8F692FED2804}" name="Tabela dinâmica7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7:H21" firstHeaderRow="1" firstDataRow="1" firstDataCol="1" rowPageCount="1" colPageCount="1"/>
  <pivotFields count="37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3">
        <item x="18"/>
        <item x="3"/>
        <item x="23"/>
        <item h="1" x="5"/>
        <item x="24"/>
        <item x="22"/>
        <item x="19"/>
        <item x="12"/>
        <item x="7"/>
        <item x="10"/>
        <item x="21"/>
        <item x="0"/>
        <item x="25"/>
        <item x="13"/>
        <item x="26"/>
        <item x="2"/>
        <item x="27"/>
        <item x="8"/>
        <item x="20"/>
        <item x="14"/>
        <item x="6"/>
        <item x="28"/>
        <item x="16"/>
        <item x="1"/>
        <item x="4"/>
        <item x="29"/>
        <item x="30"/>
        <item x="17"/>
        <item x="9"/>
        <item h="1" x="31"/>
        <item x="1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numFmtId="168" showAll="0"/>
    <pivotField numFmtId="168" showAll="0"/>
    <pivotField showAll="0"/>
    <pivotField numFmtId="166" showAll="0"/>
    <pivotField numFmtId="165" showAll="0"/>
    <pivotField dataField="1" numFmtId="166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Delivered 2026 (USD)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D616E-D002-4A0B-97FF-C0D0890C834D}" name="Tabela dinâmica4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5:C58" firstHeaderRow="0" firstDataRow="1" firstDataCol="1" rowPageCount="4" colPageCount="1"/>
  <pivotFields count="37">
    <pivotField axis="axisRow" showAll="0">
      <items count="237">
        <item x="200"/>
        <item m="1" x="235"/>
        <item x="3"/>
        <item x="119"/>
        <item x="192"/>
        <item x="199"/>
        <item x="197"/>
        <item x="51"/>
        <item x="161"/>
        <item x="120"/>
        <item x="188"/>
        <item x="217"/>
        <item x="218"/>
        <item x="62"/>
        <item x="117"/>
        <item x="137"/>
        <item x="157"/>
        <item x="133"/>
        <item m="1" x="229"/>
        <item m="1" x="230"/>
        <item x="121"/>
        <item x="159"/>
        <item x="136"/>
        <item x="24"/>
        <item x="102"/>
        <item x="203"/>
        <item x="182"/>
        <item x="45"/>
        <item x="43"/>
        <item x="39"/>
        <item x="37"/>
        <item x="63"/>
        <item x="85"/>
        <item x="160"/>
        <item x="174"/>
        <item x="162"/>
        <item x="177"/>
        <item x="204"/>
        <item x="142"/>
        <item x="213"/>
        <item x="206"/>
        <item x="52"/>
        <item x="107"/>
        <item x="143"/>
        <item x="122"/>
        <item x="134"/>
        <item x="144"/>
        <item x="67"/>
        <item x="183"/>
        <item x="193"/>
        <item x="207"/>
        <item x="189"/>
        <item x="191"/>
        <item x="212"/>
        <item x="105"/>
        <item x="0"/>
        <item x="219"/>
        <item x="83"/>
        <item x="138"/>
        <item x="18"/>
        <item x="4"/>
        <item x="99"/>
        <item x="210"/>
        <item x="190"/>
        <item x="196"/>
        <item x="60"/>
        <item x="211"/>
        <item x="178"/>
        <item x="145"/>
        <item x="123"/>
        <item m="1" x="223"/>
        <item x="23"/>
        <item x="184"/>
        <item x="173"/>
        <item x="180"/>
        <item x="194"/>
        <item x="175"/>
        <item x="208"/>
        <item x="176"/>
        <item x="195"/>
        <item x="146"/>
        <item x="147"/>
        <item x="148"/>
        <item x="149"/>
        <item x="96"/>
        <item x="150"/>
        <item x="124"/>
        <item x="131"/>
        <item x="141"/>
        <item x="56"/>
        <item x="151"/>
        <item x="97"/>
        <item x="78"/>
        <item x="30"/>
        <item x="90"/>
        <item x="152"/>
        <item x="109"/>
        <item x="41"/>
        <item x="89"/>
        <item x="81"/>
        <item x="101"/>
        <item x="76"/>
        <item x="70"/>
        <item x="209"/>
        <item x="98"/>
        <item x="91"/>
        <item x="112"/>
        <item x="198"/>
        <item x="115"/>
        <item x="35"/>
        <item x="181"/>
        <item x="17"/>
        <item m="1" x="226"/>
        <item x="80"/>
        <item x="73"/>
        <item x="140"/>
        <item x="104"/>
        <item x="214"/>
        <item x="165"/>
        <item x="163"/>
        <item x="166"/>
        <item x="167"/>
        <item x="168"/>
        <item x="113"/>
        <item m="1" x="227"/>
        <item x="185"/>
        <item m="1" x="224"/>
        <item x="21"/>
        <item x="93"/>
        <item x="164"/>
        <item x="169"/>
        <item x="170"/>
        <item x="171"/>
        <item x="205"/>
        <item m="1" x="231"/>
        <item m="1" x="232"/>
        <item m="1" x="233"/>
        <item m="1" x="234"/>
        <item x="220"/>
        <item x="53"/>
        <item x="135"/>
        <item m="1" x="228"/>
        <item x="20"/>
        <item x="12"/>
        <item x="172"/>
        <item x="100"/>
        <item x="221"/>
        <item x="222"/>
        <item x="186"/>
        <item x="153"/>
        <item x="187"/>
        <item x="158"/>
        <item x="79"/>
        <item x="216"/>
        <item x="74"/>
        <item x="34"/>
        <item x="201"/>
        <item x="9"/>
        <item x="14"/>
        <item x="11"/>
        <item x="2"/>
        <item x="108"/>
        <item x="118"/>
        <item x="19"/>
        <item x="66"/>
        <item x="69"/>
        <item x="116"/>
        <item x="36"/>
        <item x="179"/>
        <item x="92"/>
        <item x="57"/>
        <item x="94"/>
        <item x="103"/>
        <item x="202"/>
        <item x="38"/>
        <item x="132"/>
        <item x="114"/>
        <item x="154"/>
        <item x="111"/>
        <item x="215"/>
        <item x="106"/>
        <item x="75"/>
        <item x="110"/>
        <item x="61"/>
        <item x="86"/>
        <item x="95"/>
        <item m="1" x="225"/>
        <item x="7"/>
        <item x="46"/>
        <item x="15"/>
        <item x="5"/>
        <item x="42"/>
        <item x="87"/>
        <item x="33"/>
        <item x="13"/>
        <item x="16"/>
        <item x="65"/>
        <item x="72"/>
        <item x="29"/>
        <item x="88"/>
        <item x="47"/>
        <item x="55"/>
        <item x="22"/>
        <item x="71"/>
        <item x="54"/>
        <item x="50"/>
        <item x="25"/>
        <item x="68"/>
        <item x="58"/>
        <item x="8"/>
        <item x="6"/>
        <item x="10"/>
        <item x="26"/>
        <item x="32"/>
        <item x="82"/>
        <item x="84"/>
        <item x="31"/>
        <item x="77"/>
        <item x="64"/>
        <item x="44"/>
        <item x="128"/>
        <item x="127"/>
        <item x="130"/>
        <item x="126"/>
        <item x="129"/>
        <item x="125"/>
        <item x="155"/>
        <item x="156"/>
        <item x="59"/>
        <item x="139"/>
        <item x="28"/>
        <item x="48"/>
        <item x="49"/>
        <item x="27"/>
        <item x="1"/>
        <item x="40"/>
        <item t="default"/>
      </items>
    </pivotField>
    <pivotField axis="axisPage" multipleItemSelectionAllowed="1" showAll="0">
      <items count="17">
        <item m="1" x="14"/>
        <item m="1" x="15"/>
        <item x="1"/>
        <item x="0"/>
        <item x="3"/>
        <item m="1" x="5"/>
        <item m="1" x="6"/>
        <item m="1" x="7"/>
        <item m="1" x="8"/>
        <item m="1" x="9"/>
        <item m="1" x="10"/>
        <item m="1" x="11"/>
        <item m="1" x="12"/>
        <item m="1" x="1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1"/>
        <item x="0"/>
        <item h="1" x="2"/>
        <item t="default"/>
      </items>
    </pivotField>
    <pivotField axis="axisPage" multipleItemSelectionAllowed="1" showAll="0">
      <items count="5">
        <item x="2"/>
        <item x="1"/>
        <item x="0"/>
        <item h="1" x="3"/>
        <item t="default"/>
      </items>
    </pivotField>
    <pivotField showAll="0"/>
    <pivotField numFmtId="168" showAll="0"/>
    <pivotField numFmtId="168" showAll="0"/>
    <pivotField showAll="0"/>
    <pivotField dataField="1" numFmtId="166" showAll="0"/>
    <pivotField numFmtId="165" showAll="0"/>
    <pivotField dataField="1" numFmtId="166" showAll="0"/>
    <pivotField axis="axisPage" numFmtId="165" multipleItemSelectionAllowed="1" showAll="0">
      <items count="322">
        <item h="1" x="11"/>
        <item m="1" x="316"/>
        <item m="1" x="310"/>
        <item m="1" x="171"/>
        <item m="1" x="315"/>
        <item m="1" x="319"/>
        <item m="1" x="311"/>
        <item m="1" x="169"/>
        <item m="1" x="308"/>
        <item m="1" x="312"/>
        <item m="1" x="307"/>
        <item m="1" x="306"/>
        <item m="1" x="248"/>
        <item m="1" x="197"/>
        <item m="1" x="309"/>
        <item m="1" x="303"/>
        <item m="1" x="320"/>
        <item m="1" x="304"/>
        <item m="1" x="313"/>
        <item m="1" x="142"/>
        <item m="1" x="299"/>
        <item m="1" x="298"/>
        <item m="1" x="314"/>
        <item m="1" x="305"/>
        <item m="1" x="297"/>
        <item m="1" x="302"/>
        <item m="1" x="134"/>
        <item m="1" x="301"/>
        <item m="1" x="300"/>
        <item m="1" x="295"/>
        <item m="1" x="296"/>
        <item m="1" x="318"/>
        <item x="3"/>
        <item x="122"/>
        <item m="1" x="246"/>
        <item h="1" m="1" x="317"/>
        <item m="1" x="269"/>
        <item m="1" x="262"/>
        <item m="1" x="270"/>
        <item m="1" x="263"/>
        <item m="1" x="271"/>
        <item m="1" x="272"/>
        <item m="1" x="273"/>
        <item m="1" x="265"/>
        <item m="1" x="274"/>
        <item m="1" x="275"/>
        <item m="1" x="276"/>
        <item m="1" x="277"/>
        <item m="1" x="278"/>
        <item m="1" x="279"/>
        <item m="1" x="280"/>
        <item m="1" x="281"/>
        <item x="73"/>
        <item m="1" x="282"/>
        <item m="1" x="249"/>
        <item m="1" x="250"/>
        <item m="1" x="283"/>
        <item m="1" x="284"/>
        <item m="1" x="285"/>
        <item m="1" x="286"/>
        <item m="1" x="287"/>
        <item m="1" x="288"/>
        <item m="1" x="151"/>
        <item m="1" x="289"/>
        <item m="1" x="266"/>
        <item m="1" x="290"/>
        <item m="1" x="291"/>
        <item m="1" x="267"/>
        <item m="1" x="292"/>
        <item m="1" x="293"/>
        <item m="1" x="294"/>
        <item m="1" x="161"/>
        <item m="1" x="268"/>
        <item h="1" m="1" x="231"/>
        <item h="1" m="1" x="182"/>
        <item h="1" m="1" x="264"/>
        <item h="1" m="1" x="240"/>
        <item h="1" m="1" x="241"/>
        <item h="1" m="1" x="233"/>
        <item h="1" m="1" x="234"/>
        <item h="1" m="1" x="235"/>
        <item h="1" m="1" x="242"/>
        <item h="1" m="1" x="243"/>
        <item h="1" m="1" x="244"/>
        <item h="1" m="1" x="245"/>
        <item h="1" m="1" x="236"/>
        <item h="1" m="1" x="247"/>
        <item h="1" m="1" x="210"/>
        <item h="1" x="113"/>
        <item h="1" m="1" x="224"/>
        <item h="1" x="118"/>
        <item h="1" m="1" x="251"/>
        <item h="1" m="1" x="252"/>
        <item h="1" m="1" x="253"/>
        <item h="1" m="1" x="254"/>
        <item h="1" m="1" x="194"/>
        <item h="1" x="39"/>
        <item h="1" x="37"/>
        <item h="1" m="1" x="255"/>
        <item h="1" m="1" x="256"/>
        <item h="1" x="63"/>
        <item h="1" x="85"/>
        <item h="1" m="1" x="257"/>
        <item h="1" m="1" x="237"/>
        <item h="1" x="45"/>
        <item h="1" m="1" x="135"/>
        <item h="1" x="43"/>
        <item h="1" m="1" x="258"/>
        <item h="1" m="1" x="220"/>
        <item h="1" m="1" x="223"/>
        <item h="1" x="112"/>
        <item h="1" m="1" x="188"/>
        <item h="1" m="1" x="226"/>
        <item h="1" m="1" x="227"/>
        <item h="1" m="1" x="259"/>
        <item h="1" m="1" x="260"/>
        <item h="1" m="1" x="261"/>
        <item h="1" x="7"/>
        <item h="1" m="1" x="232"/>
        <item h="1" m="1" x="238"/>
        <item h="1" m="1" x="239"/>
        <item h="1" m="1" x="184"/>
        <item h="1" m="1" x="185"/>
        <item h="1" m="1" x="180"/>
        <item h="1" x="46"/>
        <item h="1" x="15"/>
        <item h="1" x="5"/>
        <item h="1" x="42"/>
        <item h="1" x="87"/>
        <item h="1" x="33"/>
        <item h="1" x="13"/>
        <item h="1" x="16"/>
        <item h="1" x="65"/>
        <item h="1" x="72"/>
        <item h="1" x="29"/>
        <item h="1" x="88"/>
        <item h="1" x="47"/>
        <item h="1" x="55"/>
        <item h="1" x="22"/>
        <item h="1" x="71"/>
        <item h="1" x="54"/>
        <item h="1" x="50"/>
        <item h="1" x="25"/>
        <item h="1" x="68"/>
        <item h="1" x="58"/>
        <item h="1" x="8"/>
        <item h="1" x="6"/>
        <item h="1" x="10"/>
        <item h="1" x="26"/>
        <item h="1" x="32"/>
        <item h="1" x="82"/>
        <item h="1" x="84"/>
        <item h="1" x="31"/>
        <item h="1" x="77"/>
        <item h="1" x="64"/>
        <item h="1" x="44"/>
        <item h="1" m="1" x="195"/>
        <item h="1" m="1" x="216"/>
        <item h="1" m="1" x="219"/>
        <item h="1" m="1" x="200"/>
        <item h="1" m="1" x="205"/>
        <item h="1" m="1" x="217"/>
        <item h="1" m="1" x="221"/>
        <item h="1" m="1" x="222"/>
        <item h="1" m="1" x="211"/>
        <item h="1" m="1" x="218"/>
        <item h="1" m="1" x="198"/>
        <item h="1" m="1" x="208"/>
        <item h="1" m="1" x="207"/>
        <item h="1" m="1" x="209"/>
        <item h="1" m="1" x="212"/>
        <item h="1" m="1" x="199"/>
        <item h="1" m="1" x="202"/>
        <item h="1" m="1" x="214"/>
        <item h="1" m="1" x="128"/>
        <item h="1" m="1" x="206"/>
        <item h="1" m="1" x="204"/>
        <item h="1" m="1" x="132"/>
        <item h="1" m="1" x="203"/>
        <item h="1" m="1" x="196"/>
        <item h="1" m="1" x="201"/>
        <item h="1" m="1" x="213"/>
        <item h="1" m="1" x="125"/>
        <item h="1" m="1" x="215"/>
        <item h="1" m="1" x="225"/>
        <item h="1" m="1" x="228"/>
        <item h="1" m="1" x="229"/>
        <item h="1" m="1" x="230"/>
        <item h="1" m="1" x="183"/>
        <item h="1" m="1" x="179"/>
        <item h="1" x="0"/>
        <item h="1" m="1" x="126"/>
        <item h="1" x="14"/>
        <item h="1" m="1" x="138"/>
        <item h="1" m="1" x="133"/>
        <item h="1" m="1" x="129"/>
        <item h="1" x="19"/>
        <item h="1" x="116"/>
        <item h="1" m="1" x="131"/>
        <item h="1" m="1" x="168"/>
        <item h="1" m="1" x="193"/>
        <item h="1" m="1" x="186"/>
        <item h="1" m="1" x="153"/>
        <item h="1" m="1" x="189"/>
        <item h="1" m="1" x="156"/>
        <item h="1" m="1" x="137"/>
        <item h="1" m="1" x="178"/>
        <item h="1" m="1" x="192"/>
        <item h="1" m="1" x="144"/>
        <item h="1" m="1" x="149"/>
        <item h="1" x="78"/>
        <item h="1" m="1" x="181"/>
        <item h="1" m="1" x="140"/>
        <item h="1" m="1" x="155"/>
        <item h="1" m="1" x="158"/>
        <item h="1" m="1" x="157"/>
        <item h="1" m="1" x="191"/>
        <item h="1" m="1" x="152"/>
        <item h="1" x="91"/>
        <item h="1" m="1" x="166"/>
        <item h="1" x="80"/>
        <item h="1" m="1" x="159"/>
        <item h="1" x="111"/>
        <item h="1" m="1" x="148"/>
        <item h="1" x="93"/>
        <item h="1" m="1" x="143"/>
        <item h="1" m="1" x="123"/>
        <item h="1" m="1" x="130"/>
        <item h="1" m="1" x="174"/>
        <item h="1" m="1" x="147"/>
        <item h="1" m="1" x="190"/>
        <item h="1" m="1" x="167"/>
        <item h="1" m="1" x="141"/>
        <item h="1" x="103"/>
        <item h="1" m="1" x="146"/>
        <item h="1" m="1" x="175"/>
        <item h="1" m="1" x="172"/>
        <item h="1" m="1" x="187"/>
        <item h="1" m="1" x="162"/>
        <item h="1" m="1" x="139"/>
        <item h="1" m="1" x="145"/>
        <item h="1" m="1" x="164"/>
        <item h="1" x="59"/>
        <item h="1" x="48"/>
        <item h="1" m="1" x="176"/>
        <item h="1" x="49"/>
        <item h="1" m="1" x="173"/>
        <item h="1" m="1" x="170"/>
        <item h="1" m="1" x="154"/>
        <item h="1" m="1" x="177"/>
        <item h="1" m="1" x="127"/>
        <item h="1" m="1" x="136"/>
        <item h="1" x="106"/>
        <item h="1" x="109"/>
        <item h="1" m="1" x="165"/>
        <item h="1" m="1" x="160"/>
        <item h="1" x="121"/>
        <item h="1" m="1" x="163"/>
        <item h="1" m="1" x="150"/>
        <item h="1" m="1" x="124"/>
        <item h="1" x="1"/>
        <item h="1" x="2"/>
        <item h="1" x="9"/>
        <item h="1" x="12"/>
        <item h="1" x="17"/>
        <item h="1" x="20"/>
        <item h="1" x="21"/>
        <item h="1" x="24"/>
        <item h="1" x="27"/>
        <item h="1" x="28"/>
        <item h="1" x="30"/>
        <item h="1" x="34"/>
        <item h="1" x="35"/>
        <item h="1" x="36"/>
        <item h="1" x="110"/>
        <item h="1" x="38"/>
        <item h="1" x="41"/>
        <item h="1" x="51"/>
        <item h="1" x="53"/>
        <item h="1" x="56"/>
        <item h="1" x="57"/>
        <item h="1" x="60"/>
        <item h="1" x="61"/>
        <item h="1" x="62"/>
        <item h="1" x="66"/>
        <item h="1" x="67"/>
        <item h="1" x="69"/>
        <item h="1" x="70"/>
        <item h="1" x="99"/>
        <item h="1" x="75"/>
        <item h="1" x="76"/>
        <item h="1" x="97"/>
        <item h="1" x="79"/>
        <item h="1" x="81"/>
        <item h="1" x="101"/>
        <item h="1" x="89"/>
        <item h="1" x="86"/>
        <item h="1" x="104"/>
        <item h="1" x="90"/>
        <item h="1" x="92"/>
        <item h="1" x="94"/>
        <item h="1" x="95"/>
        <item h="1" x="96"/>
        <item h="1" x="83"/>
        <item h="1" x="98"/>
        <item h="1" x="52"/>
        <item h="1" x="100"/>
        <item h="1" x="102"/>
        <item h="1" x="74"/>
        <item h="1" x="107"/>
        <item h="1" x="108"/>
        <item h="1" x="4"/>
        <item h="1" x="114"/>
        <item h="1" x="115"/>
        <item h="1" x="117"/>
        <item h="1" x="119"/>
        <item h="1" x="105"/>
        <item h="1" x="120"/>
        <item h="1" x="23"/>
        <item h="1" x="18"/>
        <item h="1" x="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 v="2"/>
    </i>
    <i>
      <x v="114"/>
    </i>
    <i t="grand">
      <x/>
    </i>
  </rowItems>
  <colFields count="1">
    <field x="-2"/>
  </colFields>
  <colItems count="2">
    <i>
      <x/>
    </i>
    <i i="1">
      <x v="1"/>
    </i>
  </colItems>
  <pageFields count="4">
    <pageField fld="1" hier="-1"/>
    <pageField fld="13" hier="-1"/>
    <pageField fld="12" hier="-1"/>
    <pageField fld="21" hier="-1"/>
  </pageFields>
  <dataFields count="2">
    <dataField name="Soma de Expected Savings USD - 2026" fld="18" baseField="0" baseItem="0" numFmtId="166"/>
    <dataField name="Soma de Total Delivered 2026 (USD)" fld="20" baseField="0" baseItem="0" numFmtId="166"/>
  </dataFields>
  <formats count="3">
    <format dxfId="0">
      <pivotArea collapsedLevelsAreSubtotals="1" fieldPosition="0">
        <references count="2">
          <reference field="12" count="1" selected="0">
            <x v="1"/>
          </reference>
          <reference field="13" count="1">
            <x v="1"/>
          </reference>
        </references>
      </pivotArea>
    </format>
    <format dxfId="1">
      <pivotArea field="12" grandRow="1" outline="0" collapsedLevelsAreSubtotals="1" axis="axisPage" fieldPosition="2">
        <references count="1">
          <reference field="12" count="1" selected="0">
            <x v="1"/>
          </reference>
        </references>
      </pivotArea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F7323-C5D3-4F94-905D-CCF825F049A1}" name="Tabela dinâmica13" cacheId="49" applyNumberFormats="0" applyBorderFormats="0" applyFontFormats="0" applyPatternFormats="0" applyAlignmentFormats="0" applyWidthHeightFormats="1" dataCaption="Valores" grandTotalCaption="Total Geral (USD)" updatedVersion="8" minRefreshableVersion="3" useAutoFormatting="1" itemPrintTitles="1" createdVersion="8" indent="0" outline="1" outlineData="1" multipleFieldFilters="0">
  <location ref="G33:I37" firstHeaderRow="1" firstDataRow="2" firstDataCol="1" rowPageCount="1" colPageCount="1"/>
  <pivotFields count="37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3">
        <item h="1" x="18"/>
        <item h="1" x="3"/>
        <item h="1" x="23"/>
        <item x="5"/>
        <item h="1" x="24"/>
        <item h="1" x="22"/>
        <item h="1" x="19"/>
        <item h="1" x="12"/>
        <item h="1" x="7"/>
        <item h="1" x="10"/>
        <item h="1" x="21"/>
        <item h="1" x="0"/>
        <item h="1" x="25"/>
        <item h="1" x="13"/>
        <item h="1" x="26"/>
        <item h="1" x="2"/>
        <item h="1" x="27"/>
        <item h="1" x="8"/>
        <item h="1" x="20"/>
        <item h="1" x="14"/>
        <item h="1" x="6"/>
        <item h="1" x="28"/>
        <item h="1" x="16"/>
        <item h="1" x="1"/>
        <item h="1" x="4"/>
        <item h="1" x="29"/>
        <item h="1" x="30"/>
        <item h="1" x="17"/>
        <item h="1" x="9"/>
        <item h="1" x="31"/>
        <item h="1" x="11"/>
        <item h="1"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2"/>
        <item x="1"/>
        <item x="0"/>
        <item h="1" x="3"/>
        <item t="default"/>
      </items>
    </pivotField>
    <pivotField showAll="0"/>
    <pivotField numFmtId="168" showAll="0"/>
    <pivotField numFmtId="168" showAll="0"/>
    <pivotField showAll="0"/>
    <pivotField numFmtId="166" showAll="0"/>
    <pivotField numFmtId="165" showAll="0"/>
    <pivotField dataField="1" numFmtId="166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2"/>
    </i>
    <i t="grand">
      <x/>
    </i>
  </rowItems>
  <colFields count="1">
    <field x="12"/>
  </colFields>
  <colItems count="2">
    <i>
      <x/>
    </i>
    <i t="grand">
      <x/>
    </i>
  </colItems>
  <pageFields count="1">
    <pageField fld="6" hier="-1"/>
  </pageFields>
  <dataFields count="1">
    <dataField name="Soma de Total Delivered 2026 (USD)" fld="20" baseField="0" baseItem="0" numFmtId="166"/>
  </dataFields>
  <formats count="3">
    <format dxfId="3">
      <pivotArea collapsedLevelsAreSubtotals="1" fieldPosition="0">
        <references count="2">
          <reference field="12" count="1" selected="0">
            <x v="1"/>
          </reference>
          <reference field="13" count="1">
            <x v="1"/>
          </reference>
        </references>
      </pivotArea>
    </format>
    <format dxfId="4">
      <pivotArea field="12" grandRow="1" outline="0" collapsedLevelsAreSubtotals="1" axis="axisCol" fieldPosition="0">
        <references count="1">
          <reference field="12" count="1" selected="0">
            <x v="1"/>
          </reference>
        </references>
      </pivotArea>
    </format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EB98F-0EC7-4FF5-B3EC-4EFA74F9B8CF}" name="Tabela dinâmica1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37">
    <pivotField showAll="0"/>
    <pivotField axis="axisRow" showAll="0">
      <items count="17">
        <item x="1"/>
        <item x="0"/>
        <item h="1" x="3"/>
        <item m="1" x="14"/>
        <item m="1" x="15"/>
        <item m="1" x="5"/>
        <item m="1" x="6"/>
        <item m="1" x="7"/>
        <item m="1" x="8"/>
        <item m="1" x="9"/>
        <item m="1" x="10"/>
        <item m="1" x="11"/>
        <item m="1" x="12"/>
        <item m="1" x="13"/>
        <item x="4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numFmtId="168" showAll="0"/>
    <pivotField showAll="0"/>
    <pivotField numFmtId="166" showAll="0"/>
    <pivotField numFmtId="165" showAll="0"/>
    <pivotField dataField="1" numFmtId="166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14"/>
    </i>
    <i t="grand">
      <x/>
    </i>
  </rowItems>
  <colItems count="1">
    <i/>
  </colItems>
  <dataFields count="1">
    <dataField name="Soma de Total Delivered 2026 (USD)" fld="20" baseField="0" baseItem="0" numFmtId="43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1E4FA-A3CE-41AD-AFD8-0FB573B636A2}" name="Tabela dinâmica2" cacheId="49" applyNumberFormats="0" applyBorderFormats="0" applyFontFormats="0" applyPatternFormats="0" applyAlignmentFormats="0" applyWidthHeightFormats="1" dataCaption="Valores" grandTotalCaption="Total Geral (USD)" updatedVersion="8" minRefreshableVersion="3" useAutoFormatting="1" itemPrintTitles="1" createdVersion="8" indent="0" outline="1" outlineData="1" multipleFieldFilters="0">
  <location ref="A10:E15" firstHeaderRow="1" firstDataRow="2" firstDataCol="1"/>
  <pivotFields count="3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h="1" x="4"/>
        <item x="3"/>
        <item m="1" x="6"/>
        <item h="1" x="5"/>
        <item h="1" x="2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1"/>
        <item x="0"/>
        <item h="1" x="3"/>
        <item t="default"/>
      </items>
    </pivotField>
    <pivotField showAll="0"/>
    <pivotField numFmtId="168" showAll="0"/>
    <pivotField numFmtId="168" showAll="0"/>
    <pivotField showAll="0"/>
    <pivotField numFmtId="166" showAll="0"/>
    <pivotField numFmtId="165" showAll="0"/>
    <pivotField dataField="1" numFmtId="166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oma de Total Delivered 2026 (USD)" fld="20" baseField="0" baseItem="0" numFmtId="43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2DF0F-E5D3-47BA-B532-6C273410456F}" name="Tabela dinâmica6" cacheId="49" applyNumberFormats="0" applyBorderFormats="0" applyFontFormats="0" applyPatternFormats="0" applyAlignmentFormats="0" applyWidthHeightFormats="1" dataCaption="Valores" grandTotalCaption="Total Geral (USD)" updatedVersion="8" minRefreshableVersion="3" useAutoFormatting="1" itemPrintTitles="1" createdVersion="8" indent="0" outline="1" outlineData="1" multipleFieldFilters="0">
  <location ref="A28:E39" firstHeaderRow="1" firstDataRow="2" firstDataCol="1" rowPageCount="1" colPageCount="1"/>
  <pivotFields count="37"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x="5"/>
        <item x="9"/>
        <item x="0"/>
        <item x="1"/>
        <item x="7"/>
        <item x="8"/>
        <item m="1" x="11"/>
        <item x="4"/>
        <item x="6"/>
        <item x="10"/>
        <item x="3"/>
        <item t="default"/>
      </items>
    </pivotField>
    <pivotField axis="axisPage" multipleItemSelectionAllowed="1" showAll="0">
      <items count="8">
        <item m="1" x="6"/>
        <item x="1"/>
        <item x="0"/>
        <item x="4"/>
        <item x="3"/>
        <item x="5"/>
        <item h="1" x="2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1"/>
        <item x="0"/>
        <item h="1" x="3"/>
        <item t="default"/>
      </items>
    </pivotField>
    <pivotField showAll="0"/>
    <pivotField numFmtId="168" showAll="0"/>
    <pivotField numFmtId="168" showAll="0"/>
    <pivotField showAll="0"/>
    <pivotField numFmtId="166" showAll="0"/>
    <pivotField numFmtId="165" showAll="0"/>
    <pivotField dataField="1" numFmtId="166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pageFields count="1">
    <pageField fld="8" hier="-1"/>
  </pageFields>
  <dataFields count="1">
    <dataField name="Soma de Total Delivered 2026 (USD)" fld="20" baseField="0" baseItem="0" numFmtId="166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C7949-9EF0-448B-ABBD-0C52A2E50E6A}" name="Tabela dinâmica3" cacheId="49" applyNumberFormats="0" applyBorderFormats="0" applyFontFormats="0" applyPatternFormats="0" applyAlignmentFormats="0" applyWidthHeightFormats="1" dataCaption="Valores" grandTotalCaption="Total Geral (USD)" updatedVersion="8" minRefreshableVersion="3" useAutoFormatting="1" itemPrintTitles="1" createdVersion="8" indent="0" outline="1" outlineData="1" multipleFieldFilters="0">
  <location ref="A19:D24" firstHeaderRow="1" firstDataRow="2" firstDataCol="1" rowPageCount="1" colPageCount="1"/>
  <pivotFields count="37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3">
        <item x="18"/>
        <item x="3"/>
        <item x="23"/>
        <item h="1" x="5"/>
        <item x="24"/>
        <item x="22"/>
        <item x="19"/>
        <item x="12"/>
        <item x="7"/>
        <item x="10"/>
        <item x="21"/>
        <item x="0"/>
        <item x="25"/>
        <item x="13"/>
        <item x="26"/>
        <item x="2"/>
        <item x="27"/>
        <item x="8"/>
        <item x="20"/>
        <item x="14"/>
        <item x="6"/>
        <item x="28"/>
        <item x="16"/>
        <item x="1"/>
        <item x="4"/>
        <item x="29"/>
        <item x="30"/>
        <item x="17"/>
        <item x="9"/>
        <item x="31"/>
        <item x="11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5">
        <item x="2"/>
        <item x="1"/>
        <item x="0"/>
        <item h="1" x="3"/>
        <item t="default"/>
      </items>
    </pivotField>
    <pivotField showAll="0"/>
    <pivotField numFmtId="168" showAll="0"/>
    <pivotField numFmtId="168" showAll="0"/>
    <pivotField showAll="0"/>
    <pivotField numFmtId="166" showAll="0"/>
    <pivotField numFmtId="165" showAll="0"/>
    <pivotField dataField="1" numFmtId="166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pageFields count="1">
    <pageField fld="6" hier="-1"/>
  </pageFields>
  <dataFields count="1">
    <dataField name="Soma de Total Delivered 2026 (USD)" fld="20" baseField="0" baseItem="0" numFmtId="166"/>
  </dataFields>
  <formats count="3">
    <format dxfId="9">
      <pivotArea collapsedLevelsAreSubtotals="1" fieldPosition="0">
        <references count="2">
          <reference field="12" count="1" selected="0">
            <x v="1"/>
          </reference>
          <reference field="13" count="1">
            <x v="1"/>
          </reference>
        </references>
      </pivotArea>
    </format>
    <format dxfId="10">
      <pivotArea field="12" grandRow="1" outline="0" collapsedLevelsAreSubtotals="1" axis="axisCol" fieldPosition="0">
        <references count="1">
          <reference field="12" count="1" selected="0">
            <x v="1"/>
          </reference>
        </references>
      </pivotArea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B4A5-B91B-4E95-882D-C0F50CD2817B}">
  <sheetPr>
    <tabColor rgb="FFFFC000"/>
  </sheetPr>
  <dimension ref="A1:X488"/>
  <sheetViews>
    <sheetView tabSelected="1" zoomScaleNormal="100" workbookViewId="0">
      <pane xSplit="1" topLeftCell="B1" activePane="topRight" state="frozen"/>
      <selection pane="topRight" activeCell="B6" sqref="B6"/>
    </sheetView>
  </sheetViews>
  <sheetFormatPr defaultColWidth="10.26953125" defaultRowHeight="14.5" x14ac:dyDescent="0.35"/>
  <cols>
    <col min="1" max="1" width="14.81640625" customWidth="1"/>
    <col min="2" max="2" width="84.6328125" style="27" customWidth="1"/>
    <col min="3" max="3" width="17.453125" customWidth="1"/>
    <col min="4" max="4" width="22.7265625" customWidth="1"/>
    <col min="5" max="7" width="10.26953125" customWidth="1"/>
    <col min="8" max="8" width="30.6328125" style="35" customWidth="1"/>
    <col min="9" max="9" width="30.1796875" style="36" customWidth="1"/>
    <col min="10" max="10" width="28.453125" customWidth="1"/>
    <col min="11" max="11" width="28" customWidth="1"/>
    <col min="12" max="12" width="11.7265625" bestFit="1" customWidth="1"/>
    <col min="13" max="13" width="13.36328125" bestFit="1" customWidth="1"/>
    <col min="14" max="14" width="11.7265625" bestFit="1" customWidth="1"/>
    <col min="15" max="16" width="13.36328125" bestFit="1" customWidth="1"/>
    <col min="17" max="17" width="14.453125" bestFit="1" customWidth="1"/>
    <col min="18" max="18" width="13.81640625" bestFit="1" customWidth="1"/>
    <col min="19" max="19" width="11.1796875" bestFit="1" customWidth="1"/>
    <col min="20" max="20" width="12.7265625" bestFit="1" customWidth="1"/>
    <col min="21" max="21" width="11.1796875" bestFit="1" customWidth="1"/>
    <col min="22" max="22" width="10.1796875" bestFit="1" customWidth="1"/>
    <col min="23" max="23" width="5.90625" bestFit="1" customWidth="1"/>
  </cols>
  <sheetData>
    <row r="1" spans="1:24" x14ac:dyDescent="0.35">
      <c r="A1" s="1"/>
      <c r="B1" s="2"/>
      <c r="C1" s="1"/>
      <c r="D1" s="1"/>
      <c r="E1" s="1"/>
      <c r="F1" s="3"/>
      <c r="G1" s="3"/>
      <c r="H1" s="4">
        <f>SUBTOTAL(9,H3:H229)</f>
        <v>56665219.664732538</v>
      </c>
      <c r="I1" s="5">
        <f>SUBTOTAL(9,I3:I229)</f>
        <v>317325230.12250203</v>
      </c>
      <c r="J1" s="6">
        <f>SUBTOTAL(9,J3:J229)</f>
        <v>55745512.50756523</v>
      </c>
      <c r="K1" s="7">
        <f>SUBTOTAL(9,K3:K229)</f>
        <v>312174870.04236495</v>
      </c>
      <c r="L1" s="8">
        <f>SUBTOTAL(9,L3:L229)</f>
        <v>2541034.1873362707</v>
      </c>
      <c r="M1" s="9">
        <f>SUBTOTAL(9,M3:M229)</f>
        <v>10181426.114586364</v>
      </c>
      <c r="N1" s="9">
        <f>SUBTOTAL(9,N3:N229)</f>
        <v>3029097.0616396633</v>
      </c>
      <c r="O1" s="9">
        <f>SUBTOTAL(9,O3:O229)</f>
        <v>5276118.008375125</v>
      </c>
      <c r="P1" s="9">
        <f>SUBTOTAL(9,P3:P229)</f>
        <v>1832602.557071215</v>
      </c>
      <c r="Q1" s="9">
        <f>SUBTOTAL(9,Q3:Q229)</f>
        <v>20589778.9901109</v>
      </c>
      <c r="R1" s="10">
        <f>SUBTOTAL(9,R3:R229)</f>
        <v>13412762.80240228</v>
      </c>
      <c r="S1" s="10">
        <f>SUBTOTAL(9,S3:S229)</f>
        <v>0</v>
      </c>
      <c r="T1" s="10">
        <f>SUBTOTAL(9,T3:T229)</f>
        <v>0</v>
      </c>
      <c r="U1" s="10">
        <f>SUBTOTAL(9,U3:U229)</f>
        <v>0</v>
      </c>
      <c r="V1" s="10">
        <f>SUBTOTAL(9,V3:V229)</f>
        <v>0</v>
      </c>
      <c r="W1" s="10">
        <f>SUBTOTAL(9,W3:W229)</f>
        <v>0</v>
      </c>
    </row>
    <row r="2" spans="1:24" ht="13.5" customHeight="1" x14ac:dyDescent="0.35">
      <c r="A2" s="11" t="s">
        <v>1</v>
      </c>
      <c r="B2" s="13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4" t="s">
        <v>9</v>
      </c>
      <c r="I2" s="14" t="s">
        <v>10</v>
      </c>
      <c r="J2" s="15" t="s">
        <v>11</v>
      </c>
      <c r="K2" s="16" t="s">
        <v>12</v>
      </c>
      <c r="L2" s="17" t="s">
        <v>13</v>
      </c>
      <c r="M2" s="17" t="s">
        <v>14</v>
      </c>
      <c r="N2" s="17" t="s">
        <v>15</v>
      </c>
      <c r="O2" s="17" t="s">
        <v>16</v>
      </c>
      <c r="P2" s="17" t="s">
        <v>17</v>
      </c>
      <c r="Q2" s="17" t="s">
        <v>18</v>
      </c>
      <c r="R2" s="17" t="s">
        <v>19</v>
      </c>
      <c r="S2" s="17" t="s">
        <v>20</v>
      </c>
      <c r="T2" s="17" t="s">
        <v>21</v>
      </c>
      <c r="U2" s="17" t="s">
        <v>22</v>
      </c>
      <c r="V2" s="17" t="s">
        <v>23</v>
      </c>
      <c r="W2" s="17" t="s">
        <v>24</v>
      </c>
    </row>
    <row r="3" spans="1:24" s="27" customFormat="1" ht="13.5" customHeight="1" x14ac:dyDescent="0.35">
      <c r="A3" s="18" t="s">
        <v>43</v>
      </c>
      <c r="B3" s="20" t="s">
        <v>44</v>
      </c>
      <c r="C3" s="19" t="s">
        <v>45</v>
      </c>
      <c r="D3" s="19" t="s">
        <v>29</v>
      </c>
      <c r="E3" s="19" t="s">
        <v>30</v>
      </c>
      <c r="F3" s="19" t="s">
        <v>46</v>
      </c>
      <c r="G3" s="19" t="s">
        <v>32</v>
      </c>
      <c r="H3" s="21">
        <v>7736612.7999999998</v>
      </c>
      <c r="I3" s="22">
        <f>H3*5.6</f>
        <v>43325031.68</v>
      </c>
      <c r="J3" s="23">
        <f>SUM(L3:W3)</f>
        <v>7098738.3100000005</v>
      </c>
      <c r="K3" s="24">
        <f>J3*5.6</f>
        <v>39752934.535999998</v>
      </c>
      <c r="L3" s="25"/>
      <c r="M3" s="25">
        <v>7098738.3100000005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</row>
    <row r="4" spans="1:24" s="27" customFormat="1" ht="13.5" customHeight="1" x14ac:dyDescent="0.35">
      <c r="A4" s="18" t="s">
        <v>25</v>
      </c>
      <c r="B4" s="20" t="s">
        <v>27</v>
      </c>
      <c r="C4" s="19" t="s">
        <v>28</v>
      </c>
      <c r="D4" s="19" t="s">
        <v>29</v>
      </c>
      <c r="E4" s="19" t="s">
        <v>30</v>
      </c>
      <c r="F4" s="19" t="s">
        <v>31</v>
      </c>
      <c r="G4" s="19" t="s">
        <v>32</v>
      </c>
      <c r="H4" s="21">
        <v>9008034.7218486965</v>
      </c>
      <c r="I4" s="22">
        <f>H4*5.6</f>
        <v>50444994.442352697</v>
      </c>
      <c r="J4" s="23">
        <f>SUM(L4:W4)</f>
        <v>2843398.6742016021</v>
      </c>
      <c r="K4" s="24">
        <f>J4*5.6</f>
        <v>15923032.57552897</v>
      </c>
      <c r="L4" s="25">
        <v>630049.05666999903</v>
      </c>
      <c r="M4" s="25">
        <v>620840.40486060013</v>
      </c>
      <c r="N4" s="25">
        <v>784013.97848000238</v>
      </c>
      <c r="O4" s="25">
        <v>808495.23419100046</v>
      </c>
      <c r="P4" s="25"/>
      <c r="Q4" s="25"/>
      <c r="R4" s="25"/>
      <c r="S4" s="25"/>
      <c r="T4" s="25"/>
      <c r="U4" s="25"/>
      <c r="V4" s="25"/>
      <c r="W4" s="25"/>
      <c r="X4" s="26"/>
    </row>
    <row r="5" spans="1:24" s="27" customFormat="1" ht="13.5" customHeight="1" x14ac:dyDescent="0.35">
      <c r="A5" s="18" t="s">
        <v>33</v>
      </c>
      <c r="B5" s="20" t="s">
        <v>34</v>
      </c>
      <c r="C5" s="19" t="s">
        <v>35</v>
      </c>
      <c r="D5" s="19" t="s">
        <v>36</v>
      </c>
      <c r="E5" s="19" t="s">
        <v>37</v>
      </c>
      <c r="F5" s="19" t="s">
        <v>31</v>
      </c>
      <c r="G5" s="19" t="s">
        <v>38</v>
      </c>
      <c r="H5" s="21">
        <v>0</v>
      </c>
      <c r="I5" s="22">
        <f>H5*5.6</f>
        <v>0</v>
      </c>
      <c r="J5" s="23">
        <f>SUM(L5:W5)</f>
        <v>2618184.25</v>
      </c>
      <c r="K5" s="24">
        <f>J5*5.6</f>
        <v>14661831.799999999</v>
      </c>
      <c r="L5" s="25"/>
      <c r="M5" s="25"/>
      <c r="N5" s="25"/>
      <c r="O5" s="25"/>
      <c r="P5" s="25"/>
      <c r="Q5" s="25">
        <v>2618184.25</v>
      </c>
      <c r="R5" s="25"/>
      <c r="S5" s="25"/>
      <c r="T5" s="25"/>
      <c r="U5" s="25"/>
      <c r="V5" s="25"/>
      <c r="W5" s="25"/>
      <c r="X5" s="26"/>
    </row>
    <row r="6" spans="1:24" s="27" customFormat="1" ht="13.5" customHeight="1" x14ac:dyDescent="0.35">
      <c r="A6" s="18" t="s">
        <v>63</v>
      </c>
      <c r="B6" s="20" t="s">
        <v>64</v>
      </c>
      <c r="C6" s="19" t="s">
        <v>65</v>
      </c>
      <c r="D6" s="19" t="s">
        <v>66</v>
      </c>
      <c r="E6" s="19" t="s">
        <v>37</v>
      </c>
      <c r="F6" s="19" t="s">
        <v>31</v>
      </c>
      <c r="G6" s="19" t="s">
        <v>32</v>
      </c>
      <c r="H6" s="21">
        <v>5285714.2857142864</v>
      </c>
      <c r="I6" s="22">
        <f>H6*5.6</f>
        <v>29600000</v>
      </c>
      <c r="J6" s="23">
        <f>SUM(L6:W6)</f>
        <v>2484161.4198793801</v>
      </c>
      <c r="K6" s="24">
        <f>J6*5.6</f>
        <v>13911303.951324528</v>
      </c>
      <c r="L6" s="25">
        <v>384766.49828710937</v>
      </c>
      <c r="M6" s="25">
        <v>301513.91939250956</v>
      </c>
      <c r="N6" s="25">
        <v>282642.16907883354</v>
      </c>
      <c r="O6" s="25">
        <v>268027.6058046837</v>
      </c>
      <c r="P6" s="25">
        <v>301736.08489357954</v>
      </c>
      <c r="Q6" s="25">
        <v>484915.02291187196</v>
      </c>
      <c r="R6" s="25">
        <v>460560.11951079249</v>
      </c>
      <c r="S6" s="25"/>
      <c r="T6" s="25"/>
      <c r="U6" s="25"/>
      <c r="V6" s="25"/>
      <c r="W6" s="25"/>
      <c r="X6" s="26"/>
    </row>
    <row r="7" spans="1:24" s="27" customFormat="1" ht="13.5" customHeight="1" x14ac:dyDescent="0.35">
      <c r="A7" s="18" t="s">
        <v>51</v>
      </c>
      <c r="B7" s="20" t="s">
        <v>52</v>
      </c>
      <c r="C7" s="19" t="s">
        <v>46</v>
      </c>
      <c r="D7" s="19" t="s">
        <v>46</v>
      </c>
      <c r="E7" s="19" t="s">
        <v>53</v>
      </c>
      <c r="F7" s="19" t="s">
        <v>46</v>
      </c>
      <c r="G7" s="19" t="s">
        <v>54</v>
      </c>
      <c r="H7" s="21">
        <v>0</v>
      </c>
      <c r="I7" s="22">
        <v>0</v>
      </c>
      <c r="J7" s="23">
        <f>SUM(L7:W7)</f>
        <v>2440824.11</v>
      </c>
      <c r="K7" s="24">
        <f>J7*5.6</f>
        <v>13668615.015999999</v>
      </c>
      <c r="L7" s="25"/>
      <c r="M7" s="25"/>
      <c r="N7" s="25"/>
      <c r="O7" s="25"/>
      <c r="P7" s="25"/>
      <c r="Q7" s="25">
        <v>2440824.11</v>
      </c>
      <c r="R7" s="25"/>
      <c r="S7" s="25"/>
      <c r="T7" s="25"/>
      <c r="U7" s="25"/>
      <c r="V7" s="25"/>
      <c r="W7" s="25"/>
      <c r="X7" s="26"/>
    </row>
    <row r="8" spans="1:24" s="27" customFormat="1" ht="13.5" customHeight="1" x14ac:dyDescent="0.35">
      <c r="A8" s="18" t="s">
        <v>47</v>
      </c>
      <c r="B8" s="20" t="s">
        <v>48</v>
      </c>
      <c r="C8" s="19" t="s">
        <v>49</v>
      </c>
      <c r="D8" s="19" t="s">
        <v>50</v>
      </c>
      <c r="E8" s="19" t="s">
        <v>30</v>
      </c>
      <c r="F8" s="19" t="s">
        <v>31</v>
      </c>
      <c r="G8" s="19" t="s">
        <v>38</v>
      </c>
      <c r="H8" s="21">
        <v>84685.009540446859</v>
      </c>
      <c r="I8" s="22">
        <f>H8*5.6</f>
        <v>474236.05342650239</v>
      </c>
      <c r="J8" s="23">
        <f>SUM(L8:W8)</f>
        <v>2362642</v>
      </c>
      <c r="K8" s="24">
        <f>J8*5.6</f>
        <v>13230795.199999999</v>
      </c>
      <c r="L8" s="25"/>
      <c r="M8" s="25"/>
      <c r="N8" s="25"/>
      <c r="O8" s="25"/>
      <c r="P8" s="25"/>
      <c r="Q8" s="25"/>
      <c r="R8" s="25">
        <v>2362642</v>
      </c>
      <c r="S8" s="25"/>
      <c r="T8" s="25"/>
      <c r="U8" s="25"/>
      <c r="V8" s="25"/>
      <c r="W8" s="25"/>
      <c r="X8" s="26"/>
    </row>
    <row r="9" spans="1:24" s="27" customFormat="1" ht="13.5" customHeight="1" x14ac:dyDescent="0.35">
      <c r="A9" s="18" t="s">
        <v>345</v>
      </c>
      <c r="B9" s="20" t="s">
        <v>346</v>
      </c>
      <c r="C9" s="19" t="s">
        <v>342</v>
      </c>
      <c r="D9" s="19" t="s">
        <v>36</v>
      </c>
      <c r="E9" s="19" t="s">
        <v>37</v>
      </c>
      <c r="F9" s="19" t="s">
        <v>31</v>
      </c>
      <c r="G9" s="19" t="s">
        <v>32</v>
      </c>
      <c r="H9" s="21">
        <v>0</v>
      </c>
      <c r="I9" s="22">
        <v>0</v>
      </c>
      <c r="J9" s="23">
        <f>SUM(L9:W9)</f>
        <v>2253703.5369035718</v>
      </c>
      <c r="K9" s="24">
        <f>J9*5.6</f>
        <v>12620739.806660002</v>
      </c>
      <c r="L9" s="25"/>
      <c r="M9" s="25"/>
      <c r="N9" s="25"/>
      <c r="O9" s="25"/>
      <c r="P9" s="25"/>
      <c r="Q9" s="25"/>
      <c r="R9" s="25">
        <v>2253703.5369035718</v>
      </c>
      <c r="S9" s="25"/>
      <c r="T9" s="25"/>
      <c r="U9" s="25"/>
      <c r="V9" s="25"/>
      <c r="W9" s="25"/>
      <c r="X9" s="26"/>
    </row>
    <row r="10" spans="1:24" s="27" customFormat="1" ht="13.5" customHeight="1" x14ac:dyDescent="0.35">
      <c r="A10" s="18" t="s">
        <v>55</v>
      </c>
      <c r="B10" s="20" t="s">
        <v>56</v>
      </c>
      <c r="C10" s="19" t="s">
        <v>46</v>
      </c>
      <c r="D10" s="19" t="s">
        <v>46</v>
      </c>
      <c r="E10" s="19" t="s">
        <v>53</v>
      </c>
      <c r="F10" s="19" t="s">
        <v>46</v>
      </c>
      <c r="G10" s="19" t="s">
        <v>54</v>
      </c>
      <c r="H10" s="21">
        <v>0</v>
      </c>
      <c r="I10" s="22">
        <v>0</v>
      </c>
      <c r="J10" s="23">
        <f>SUM(L10:W10)</f>
        <v>2242453.04</v>
      </c>
      <c r="K10" s="24">
        <f>J10*5.6</f>
        <v>12557737.024</v>
      </c>
      <c r="L10" s="25"/>
      <c r="M10" s="25"/>
      <c r="N10" s="25"/>
      <c r="O10" s="25"/>
      <c r="P10" s="25"/>
      <c r="Q10" s="25">
        <v>2242453.04</v>
      </c>
      <c r="R10" s="25"/>
      <c r="S10" s="25"/>
      <c r="T10" s="25"/>
      <c r="U10" s="25"/>
      <c r="V10" s="25"/>
      <c r="W10" s="25"/>
      <c r="X10" s="26"/>
    </row>
    <row r="11" spans="1:24" s="27" customFormat="1" ht="13.5" customHeight="1" x14ac:dyDescent="0.35">
      <c r="A11" s="18" t="s">
        <v>57</v>
      </c>
      <c r="B11" s="20" t="s">
        <v>58</v>
      </c>
      <c r="C11" s="19" t="s">
        <v>59</v>
      </c>
      <c r="D11" s="19" t="s">
        <v>60</v>
      </c>
      <c r="E11" s="19" t="s">
        <v>30</v>
      </c>
      <c r="F11" s="19" t="s">
        <v>31</v>
      </c>
      <c r="G11" s="19" t="s">
        <v>38</v>
      </c>
      <c r="H11" s="21">
        <v>0</v>
      </c>
      <c r="I11" s="22">
        <f>H11*5.6</f>
        <v>0</v>
      </c>
      <c r="J11" s="23">
        <f>SUM(L11:W11)</f>
        <v>2160714.2857142859</v>
      </c>
      <c r="K11" s="24">
        <f>J11*5.6</f>
        <v>12100000</v>
      </c>
      <c r="L11" s="25"/>
      <c r="M11" s="25"/>
      <c r="N11" s="25"/>
      <c r="O11" s="25">
        <v>2160714.2857142859</v>
      </c>
      <c r="P11" s="25"/>
      <c r="Q11" s="25"/>
      <c r="R11" s="25"/>
      <c r="S11" s="25"/>
      <c r="T11" s="25"/>
      <c r="U11" s="25"/>
      <c r="V11" s="25"/>
      <c r="W11" s="25"/>
      <c r="X11" s="26"/>
    </row>
    <row r="12" spans="1:24" s="27" customFormat="1" ht="13.5" customHeight="1" x14ac:dyDescent="0.35">
      <c r="A12" s="18" t="s">
        <v>61</v>
      </c>
      <c r="B12" s="20" t="s">
        <v>62</v>
      </c>
      <c r="C12" s="19" t="s">
        <v>46</v>
      </c>
      <c r="D12" s="19" t="s">
        <v>46</v>
      </c>
      <c r="E12" s="19" t="s">
        <v>53</v>
      </c>
      <c r="F12" s="19" t="s">
        <v>46</v>
      </c>
      <c r="G12" s="19" t="s">
        <v>54</v>
      </c>
      <c r="H12" s="21">
        <v>0</v>
      </c>
      <c r="I12" s="22">
        <v>0</v>
      </c>
      <c r="J12" s="23">
        <f>SUM(L12:W12)</f>
        <v>2138267.3199999998</v>
      </c>
      <c r="K12" s="24">
        <f>J12*5.6</f>
        <v>11974296.991999999</v>
      </c>
      <c r="L12" s="25"/>
      <c r="M12" s="25"/>
      <c r="N12" s="25"/>
      <c r="O12" s="25"/>
      <c r="P12" s="25"/>
      <c r="Q12" s="25">
        <v>2138267.3199999998</v>
      </c>
      <c r="R12" s="25"/>
      <c r="S12" s="25"/>
      <c r="T12" s="25"/>
      <c r="U12" s="25"/>
      <c r="V12" s="25"/>
      <c r="W12" s="25"/>
      <c r="X12" s="26"/>
    </row>
    <row r="13" spans="1:24" s="27" customFormat="1" ht="13.5" customHeight="1" x14ac:dyDescent="0.35">
      <c r="A13" s="18" t="s">
        <v>83</v>
      </c>
      <c r="B13" s="20" t="s">
        <v>84</v>
      </c>
      <c r="C13" s="19" t="s">
        <v>49</v>
      </c>
      <c r="D13" s="19" t="s">
        <v>50</v>
      </c>
      <c r="E13" s="19" t="s">
        <v>30</v>
      </c>
      <c r="F13" s="19" t="s">
        <v>31</v>
      </c>
      <c r="G13" s="19" t="s">
        <v>38</v>
      </c>
      <c r="H13" s="21">
        <v>1768397.1962262797</v>
      </c>
      <c r="I13" s="22">
        <f>H13*5.6</f>
        <v>9903024.298867166</v>
      </c>
      <c r="J13" s="23">
        <f>SUM(L13:W13)</f>
        <v>1738134.54</v>
      </c>
      <c r="K13" s="24">
        <f>J13*5.6</f>
        <v>9733553.4239999987</v>
      </c>
      <c r="L13" s="25"/>
      <c r="M13" s="25"/>
      <c r="N13" s="25"/>
      <c r="O13" s="25"/>
      <c r="P13" s="25"/>
      <c r="Q13" s="25"/>
      <c r="R13" s="25">
        <v>1738134.54</v>
      </c>
      <c r="S13" s="25"/>
      <c r="T13" s="25"/>
      <c r="U13" s="25"/>
      <c r="V13" s="25"/>
      <c r="W13" s="25"/>
      <c r="X13" s="26"/>
    </row>
    <row r="14" spans="1:24" s="27" customFormat="1" ht="13.5" customHeight="1" x14ac:dyDescent="0.35">
      <c r="A14" s="18" t="s">
        <v>95</v>
      </c>
      <c r="B14" s="20" t="s">
        <v>96</v>
      </c>
      <c r="C14" s="19" t="s">
        <v>97</v>
      </c>
      <c r="D14" s="19" t="s">
        <v>50</v>
      </c>
      <c r="E14" s="19" t="s">
        <v>30</v>
      </c>
      <c r="F14" s="19" t="s">
        <v>31</v>
      </c>
      <c r="G14" s="19" t="s">
        <v>38</v>
      </c>
      <c r="H14" s="21">
        <v>264285.71428571432</v>
      </c>
      <c r="I14" s="22">
        <f>H14*5.6</f>
        <v>1480000</v>
      </c>
      <c r="J14" s="23">
        <f>SUM(L14:W14)</f>
        <v>1626117.48</v>
      </c>
      <c r="K14" s="24">
        <f>J14*5.6</f>
        <v>9106257.8879999984</v>
      </c>
      <c r="L14" s="25"/>
      <c r="M14" s="25"/>
      <c r="N14" s="25"/>
      <c r="O14" s="25"/>
      <c r="P14" s="25"/>
      <c r="Q14" s="25"/>
      <c r="R14" s="25">
        <v>1626117.48</v>
      </c>
      <c r="S14" s="25"/>
      <c r="T14" s="25"/>
      <c r="U14" s="25"/>
      <c r="V14" s="25"/>
      <c r="W14" s="25"/>
      <c r="X14" s="26"/>
    </row>
    <row r="15" spans="1:24" s="27" customFormat="1" ht="13.5" customHeight="1" x14ac:dyDescent="0.35">
      <c r="A15" s="18" t="s">
        <v>113</v>
      </c>
      <c r="B15" s="20" t="s">
        <v>114</v>
      </c>
      <c r="C15" s="19" t="s">
        <v>35</v>
      </c>
      <c r="D15" s="19" t="s">
        <v>36</v>
      </c>
      <c r="E15" s="19" t="s">
        <v>37</v>
      </c>
      <c r="F15" s="19" t="s">
        <v>31</v>
      </c>
      <c r="G15" s="19" t="s">
        <v>32</v>
      </c>
      <c r="H15" s="21">
        <v>494464.49026893027</v>
      </c>
      <c r="I15" s="22">
        <f>H15*5.6</f>
        <v>2769001.1455060095</v>
      </c>
      <c r="J15" s="23">
        <f>SUM(L15:W15)</f>
        <v>1273287.1803571428</v>
      </c>
      <c r="K15" s="24">
        <f>J15*5.6</f>
        <v>7130408.209999999</v>
      </c>
      <c r="L15" s="25">
        <v>134839.99464285714</v>
      </c>
      <c r="M15" s="25">
        <v>145735.64285714287</v>
      </c>
      <c r="N15" s="25">
        <v>149721.21964285715</v>
      </c>
      <c r="O15" s="25">
        <v>153371.44107142859</v>
      </c>
      <c r="P15" s="25">
        <v>186858.42857142858</v>
      </c>
      <c r="Q15" s="25">
        <v>163098.54464285716</v>
      </c>
      <c r="R15" s="25">
        <v>339661.90892857139</v>
      </c>
      <c r="S15" s="25"/>
      <c r="T15" s="25"/>
      <c r="U15" s="25"/>
      <c r="V15" s="25"/>
      <c r="W15" s="25"/>
      <c r="X15" s="26"/>
    </row>
    <row r="16" spans="1:24" s="27" customFormat="1" ht="13.5" customHeight="1" x14ac:dyDescent="0.35">
      <c r="A16" s="18" t="s">
        <v>71</v>
      </c>
      <c r="B16" s="20" t="s">
        <v>72</v>
      </c>
      <c r="C16" s="19" t="s">
        <v>65</v>
      </c>
      <c r="D16" s="19" t="s">
        <v>66</v>
      </c>
      <c r="E16" s="19" t="s">
        <v>37</v>
      </c>
      <c r="F16" s="19" t="s">
        <v>31</v>
      </c>
      <c r="G16" s="19" t="s">
        <v>32</v>
      </c>
      <c r="H16" s="21">
        <v>375000</v>
      </c>
      <c r="I16" s="22">
        <f>H16*5.6</f>
        <v>2100000</v>
      </c>
      <c r="J16" s="23">
        <f>SUM(L16:W16)</f>
        <v>1245532.6754471501</v>
      </c>
      <c r="K16" s="24">
        <f>J16*5.6</f>
        <v>6974982.98250404</v>
      </c>
      <c r="L16" s="25">
        <v>0</v>
      </c>
      <c r="M16" s="25">
        <v>540546.75714285718</v>
      </c>
      <c r="N16" s="25">
        <v>387591.13715178578</v>
      </c>
      <c r="O16" s="25">
        <v>0</v>
      </c>
      <c r="P16" s="25">
        <v>0</v>
      </c>
      <c r="Q16" s="25">
        <v>191753.35535714286</v>
      </c>
      <c r="R16" s="25">
        <v>125641.42579536427</v>
      </c>
      <c r="S16" s="25"/>
      <c r="T16" s="25"/>
      <c r="U16" s="25"/>
      <c r="V16" s="25"/>
      <c r="W16" s="25"/>
      <c r="X16" s="26"/>
    </row>
    <row r="17" spans="1:24" s="27" customFormat="1" ht="13.5" customHeight="1" x14ac:dyDescent="0.35">
      <c r="A17" s="18" t="s">
        <v>67</v>
      </c>
      <c r="B17" s="20" t="s">
        <v>68</v>
      </c>
      <c r="C17" s="19" t="s">
        <v>46</v>
      </c>
      <c r="D17" s="19" t="s">
        <v>46</v>
      </c>
      <c r="E17" s="19" t="s">
        <v>53</v>
      </c>
      <c r="F17" s="19" t="s">
        <v>46</v>
      </c>
      <c r="G17" s="19" t="s">
        <v>54</v>
      </c>
      <c r="H17" s="21">
        <v>0</v>
      </c>
      <c r="I17" s="22">
        <v>0</v>
      </c>
      <c r="J17" s="23">
        <f>SUM(L17:W17)</f>
        <v>1232613.21</v>
      </c>
      <c r="K17" s="24">
        <f>J17*5.6</f>
        <v>6902633.9759999998</v>
      </c>
      <c r="L17" s="25"/>
      <c r="M17" s="25"/>
      <c r="N17" s="25"/>
      <c r="O17" s="25"/>
      <c r="P17" s="25"/>
      <c r="Q17" s="25">
        <v>1232613.21</v>
      </c>
      <c r="R17" s="25"/>
      <c r="S17" s="25"/>
      <c r="T17" s="25"/>
      <c r="U17" s="25"/>
      <c r="V17" s="25"/>
      <c r="W17" s="25"/>
      <c r="X17" s="26"/>
    </row>
    <row r="18" spans="1:24" s="27" customFormat="1" ht="13.5" customHeight="1" x14ac:dyDescent="0.35">
      <c r="A18" s="18" t="s">
        <v>73</v>
      </c>
      <c r="B18" s="20" t="s">
        <v>74</v>
      </c>
      <c r="C18" s="19" t="s">
        <v>46</v>
      </c>
      <c r="D18" s="19" t="s">
        <v>46</v>
      </c>
      <c r="E18" s="19" t="s">
        <v>53</v>
      </c>
      <c r="F18" s="19" t="s">
        <v>46</v>
      </c>
      <c r="G18" s="19" t="s">
        <v>54</v>
      </c>
      <c r="H18" s="21">
        <v>0</v>
      </c>
      <c r="I18" s="22">
        <v>0</v>
      </c>
      <c r="J18" s="23">
        <f>SUM(L18:W18)</f>
        <v>1103969.6399999999</v>
      </c>
      <c r="K18" s="24">
        <f>J18*5.6</f>
        <v>6182229.9839999992</v>
      </c>
      <c r="L18" s="25"/>
      <c r="M18" s="25"/>
      <c r="N18" s="25"/>
      <c r="O18" s="25"/>
      <c r="P18" s="25"/>
      <c r="Q18" s="25">
        <v>1103969.6399999999</v>
      </c>
      <c r="R18" s="25"/>
      <c r="S18" s="25"/>
      <c r="T18" s="25"/>
      <c r="U18" s="25"/>
      <c r="V18" s="25"/>
      <c r="W18" s="25"/>
      <c r="X18" s="26"/>
    </row>
    <row r="19" spans="1:24" s="27" customFormat="1" ht="13.5" customHeight="1" x14ac:dyDescent="0.35">
      <c r="A19" s="18" t="s">
        <v>130</v>
      </c>
      <c r="B19" s="20" t="s">
        <v>131</v>
      </c>
      <c r="C19" s="19" t="s">
        <v>42</v>
      </c>
      <c r="D19" s="19" t="s">
        <v>29</v>
      </c>
      <c r="E19" s="19" t="s">
        <v>30</v>
      </c>
      <c r="F19" s="19" t="s">
        <v>31</v>
      </c>
      <c r="G19" s="19" t="s">
        <v>32</v>
      </c>
      <c r="H19" s="21">
        <v>0</v>
      </c>
      <c r="I19" s="22">
        <v>0</v>
      </c>
      <c r="J19" s="23">
        <f>SUM(L19:W19)</f>
        <v>1048255.8896428572</v>
      </c>
      <c r="K19" s="24">
        <f>J19*5.6</f>
        <v>5870232.9819999998</v>
      </c>
      <c r="L19" s="25"/>
      <c r="M19" s="25"/>
      <c r="N19" s="25">
        <v>321428.57</v>
      </c>
      <c r="O19" s="25">
        <v>231881.09285714288</v>
      </c>
      <c r="P19" s="25">
        <v>241239.67500000002</v>
      </c>
      <c r="Q19" s="25">
        <v>253706.55178571434</v>
      </c>
      <c r="R19" s="25"/>
      <c r="S19" s="25"/>
      <c r="T19" s="25"/>
      <c r="U19" s="25"/>
      <c r="V19" s="25"/>
      <c r="W19" s="25"/>
      <c r="X19" s="26"/>
    </row>
    <row r="20" spans="1:24" s="27" customFormat="1" ht="13.5" customHeight="1" x14ac:dyDescent="0.35">
      <c r="A20" s="18" t="s">
        <v>77</v>
      </c>
      <c r="B20" s="20" t="s">
        <v>78</v>
      </c>
      <c r="C20" s="19" t="s">
        <v>46</v>
      </c>
      <c r="D20" s="19" t="s">
        <v>46</v>
      </c>
      <c r="E20" s="19" t="s">
        <v>53</v>
      </c>
      <c r="F20" s="19" t="s">
        <v>46</v>
      </c>
      <c r="G20" s="19" t="s">
        <v>32</v>
      </c>
      <c r="H20" s="21">
        <v>0</v>
      </c>
      <c r="I20" s="22">
        <v>0</v>
      </c>
      <c r="J20" s="23">
        <f>SUM(L20:W20)</f>
        <v>854630.89</v>
      </c>
      <c r="K20" s="24">
        <f>J20*5.6</f>
        <v>4785932.9840000002</v>
      </c>
      <c r="L20" s="25"/>
      <c r="M20" s="25"/>
      <c r="N20" s="25"/>
      <c r="O20" s="25"/>
      <c r="P20" s="25"/>
      <c r="Q20" s="25">
        <v>854630.89</v>
      </c>
      <c r="R20" s="25"/>
      <c r="S20" s="25"/>
      <c r="T20" s="25"/>
      <c r="U20" s="25"/>
      <c r="V20" s="25"/>
      <c r="W20" s="25"/>
      <c r="X20" s="26"/>
    </row>
    <row r="21" spans="1:24" s="27" customFormat="1" ht="13.5" customHeight="1" x14ac:dyDescent="0.35">
      <c r="A21" s="18" t="s">
        <v>79</v>
      </c>
      <c r="B21" s="20" t="s">
        <v>80</v>
      </c>
      <c r="C21" s="19" t="s">
        <v>46</v>
      </c>
      <c r="D21" s="19" t="s">
        <v>46</v>
      </c>
      <c r="E21" s="19" t="s">
        <v>53</v>
      </c>
      <c r="F21" s="19" t="s">
        <v>46</v>
      </c>
      <c r="G21" s="19" t="s">
        <v>54</v>
      </c>
      <c r="H21" s="21">
        <v>0</v>
      </c>
      <c r="I21" s="22">
        <v>0</v>
      </c>
      <c r="J21" s="23">
        <f>SUM(L21:W21)</f>
        <v>833214.46</v>
      </c>
      <c r="K21" s="24">
        <f>J21*5.6</f>
        <v>4666000.9759999998</v>
      </c>
      <c r="L21" s="25"/>
      <c r="M21" s="25"/>
      <c r="N21" s="25"/>
      <c r="O21" s="25"/>
      <c r="P21" s="25"/>
      <c r="Q21" s="25">
        <v>833214.46</v>
      </c>
      <c r="R21" s="25"/>
      <c r="S21" s="25"/>
      <c r="T21" s="25"/>
      <c r="U21" s="25"/>
      <c r="V21" s="25"/>
      <c r="W21" s="25"/>
      <c r="X21" s="26"/>
    </row>
    <row r="22" spans="1:24" s="27" customFormat="1" ht="13.5" customHeight="1" x14ac:dyDescent="0.35">
      <c r="A22" s="18" t="s">
        <v>87</v>
      </c>
      <c r="B22" s="20" t="s">
        <v>88</v>
      </c>
      <c r="C22" s="19" t="s">
        <v>65</v>
      </c>
      <c r="D22" s="19" t="s">
        <v>66</v>
      </c>
      <c r="E22" s="19" t="s">
        <v>37</v>
      </c>
      <c r="F22" s="19" t="s">
        <v>31</v>
      </c>
      <c r="G22" s="19" t="s">
        <v>32</v>
      </c>
      <c r="H22" s="21">
        <v>1285714.2857142857</v>
      </c>
      <c r="I22" s="22">
        <f>H22*5.6</f>
        <v>7199999.9999999991</v>
      </c>
      <c r="J22" s="23">
        <f>SUM(L22:W22)</f>
        <v>825922.27429058554</v>
      </c>
      <c r="K22" s="24">
        <f>J22*5.6</f>
        <v>4625164.7360272789</v>
      </c>
      <c r="L22" s="25">
        <v>118556.53434429457</v>
      </c>
      <c r="M22" s="25">
        <v>117292.0023450279</v>
      </c>
      <c r="N22" s="25">
        <v>117188.73366214121</v>
      </c>
      <c r="O22" s="25">
        <v>117548.11103126688</v>
      </c>
      <c r="P22" s="25">
        <v>113589.06095287173</v>
      </c>
      <c r="Q22" s="25">
        <v>116561.89826469275</v>
      </c>
      <c r="R22" s="25">
        <v>125185.93369029052</v>
      </c>
      <c r="S22" s="25"/>
      <c r="T22" s="25"/>
      <c r="U22" s="25"/>
      <c r="V22" s="25"/>
      <c r="W22" s="25"/>
      <c r="X22" s="26"/>
    </row>
    <row r="23" spans="1:24" s="27" customFormat="1" ht="13.5" customHeight="1" x14ac:dyDescent="0.35">
      <c r="A23" s="18" t="s">
        <v>132</v>
      </c>
      <c r="B23" s="20" t="s">
        <v>133</v>
      </c>
      <c r="C23" s="19" t="s">
        <v>28</v>
      </c>
      <c r="D23" s="19" t="s">
        <v>36</v>
      </c>
      <c r="E23" s="19" t="s">
        <v>37</v>
      </c>
      <c r="F23" s="19" t="s">
        <v>31</v>
      </c>
      <c r="G23" s="19" t="s">
        <v>38</v>
      </c>
      <c r="H23" s="21">
        <v>163910</v>
      </c>
      <c r="I23" s="22">
        <f>H23*5.6</f>
        <v>917896</v>
      </c>
      <c r="J23" s="23">
        <f>SUM(L23:W23)</f>
        <v>765312.11294117663</v>
      </c>
      <c r="K23" s="24">
        <f>J23*5.6</f>
        <v>4285747.8324705893</v>
      </c>
      <c r="L23" s="25">
        <v>191328.02823529416</v>
      </c>
      <c r="M23" s="25">
        <v>191328.02823529416</v>
      </c>
      <c r="N23" s="25">
        <v>191328.02823529416</v>
      </c>
      <c r="O23" s="25">
        <v>191328.02823529416</v>
      </c>
      <c r="P23" s="25"/>
      <c r="Q23" s="25"/>
      <c r="R23" s="25"/>
      <c r="S23" s="25"/>
      <c r="T23" s="25"/>
      <c r="U23" s="25"/>
      <c r="V23" s="25"/>
      <c r="W23" s="25"/>
      <c r="X23" s="26"/>
    </row>
    <row r="24" spans="1:24" s="27" customFormat="1" ht="13.5" customHeight="1" x14ac:dyDescent="0.35">
      <c r="A24" s="18" t="s">
        <v>139</v>
      </c>
      <c r="B24" s="20" t="s">
        <v>140</v>
      </c>
      <c r="C24" s="19" t="s">
        <v>42</v>
      </c>
      <c r="D24" s="19" t="s">
        <v>29</v>
      </c>
      <c r="E24" s="19" t="s">
        <v>30</v>
      </c>
      <c r="F24" s="19" t="s">
        <v>31</v>
      </c>
      <c r="G24" s="19" t="s">
        <v>38</v>
      </c>
      <c r="H24" s="21">
        <v>0</v>
      </c>
      <c r="I24" s="22">
        <f>H24*5.6</f>
        <v>0</v>
      </c>
      <c r="J24" s="23">
        <f>SUM(L24:W24)</f>
        <v>753484.06598233862</v>
      </c>
      <c r="K24" s="24">
        <f>J24*5.6</f>
        <v>4219510.7695010956</v>
      </c>
      <c r="L24" s="25"/>
      <c r="M24" s="25"/>
      <c r="N24" s="25"/>
      <c r="O24" s="25"/>
      <c r="P24" s="25"/>
      <c r="Q24" s="25"/>
      <c r="R24" s="25">
        <v>753484.06598233862</v>
      </c>
      <c r="S24" s="25"/>
      <c r="T24" s="25"/>
      <c r="U24" s="25"/>
      <c r="V24" s="25"/>
      <c r="W24" s="25"/>
      <c r="X24" s="26"/>
    </row>
    <row r="25" spans="1:24" s="27" customFormat="1" ht="13.5" customHeight="1" x14ac:dyDescent="0.35">
      <c r="A25" s="18" t="s">
        <v>121</v>
      </c>
      <c r="B25" s="20" t="s">
        <v>122</v>
      </c>
      <c r="C25" s="19" t="s">
        <v>123</v>
      </c>
      <c r="D25" s="19" t="s">
        <v>124</v>
      </c>
      <c r="E25" s="19" t="s">
        <v>125</v>
      </c>
      <c r="F25" s="19" t="s">
        <v>31</v>
      </c>
      <c r="G25" s="19" t="s">
        <v>126</v>
      </c>
      <c r="H25" s="21">
        <v>1500000</v>
      </c>
      <c r="I25" s="22">
        <f>H25*5.6</f>
        <v>8400000</v>
      </c>
      <c r="J25" s="23">
        <f>SUM(L25:W25)</f>
        <v>715025.17857142864</v>
      </c>
      <c r="K25" s="24">
        <f>J25*5.6</f>
        <v>4004141</v>
      </c>
      <c r="L25" s="25">
        <v>39042.857142857145</v>
      </c>
      <c r="M25" s="25">
        <v>224090.71428571429</v>
      </c>
      <c r="N25" s="25">
        <v>88400</v>
      </c>
      <c r="O25" s="25">
        <v>86855.446428571435</v>
      </c>
      <c r="P25" s="25">
        <v>65765.535714285725</v>
      </c>
      <c r="Q25" s="25">
        <v>158349.19642857142</v>
      </c>
      <c r="R25" s="25">
        <v>52521.428571428638</v>
      </c>
      <c r="S25" s="25"/>
      <c r="T25" s="25"/>
      <c r="U25" s="25"/>
      <c r="V25" s="25"/>
      <c r="W25" s="25"/>
      <c r="X25" s="26"/>
    </row>
    <row r="26" spans="1:24" s="27" customFormat="1" ht="13.5" customHeight="1" x14ac:dyDescent="0.35">
      <c r="A26" s="18" t="s">
        <v>93</v>
      </c>
      <c r="B26" s="20" t="s">
        <v>94</v>
      </c>
      <c r="C26" s="19" t="s">
        <v>46</v>
      </c>
      <c r="D26" s="19" t="s">
        <v>46</v>
      </c>
      <c r="E26" s="19" t="s">
        <v>53</v>
      </c>
      <c r="F26" s="19" t="s">
        <v>46</v>
      </c>
      <c r="G26" s="19" t="s">
        <v>32</v>
      </c>
      <c r="H26" s="21">
        <v>0</v>
      </c>
      <c r="I26" s="22">
        <v>0</v>
      </c>
      <c r="J26" s="23">
        <f>SUM(L26:W26)</f>
        <v>649589.29</v>
      </c>
      <c r="K26" s="24">
        <f>J26*5.6</f>
        <v>3637700.0240000002</v>
      </c>
      <c r="L26" s="25"/>
      <c r="M26" s="25"/>
      <c r="N26" s="25"/>
      <c r="O26" s="25"/>
      <c r="P26" s="25"/>
      <c r="Q26" s="25">
        <v>649589.29</v>
      </c>
      <c r="R26" s="25"/>
      <c r="S26" s="25"/>
      <c r="T26" s="25"/>
      <c r="U26" s="25"/>
      <c r="V26" s="25"/>
      <c r="W26" s="25"/>
      <c r="X26" s="26"/>
    </row>
    <row r="27" spans="1:24" s="27" customFormat="1" ht="13.5" customHeight="1" x14ac:dyDescent="0.35">
      <c r="A27" s="18" t="s">
        <v>145</v>
      </c>
      <c r="B27" s="20" t="s">
        <v>146</v>
      </c>
      <c r="C27" s="19" t="s">
        <v>28</v>
      </c>
      <c r="D27" s="19" t="s">
        <v>29</v>
      </c>
      <c r="E27" s="19" t="s">
        <v>30</v>
      </c>
      <c r="F27" s="19" t="s">
        <v>31</v>
      </c>
      <c r="G27" s="19" t="s">
        <v>38</v>
      </c>
      <c r="H27" s="21">
        <v>10037</v>
      </c>
      <c r="I27" s="22">
        <f>H27*5.6</f>
        <v>56207.199999999997</v>
      </c>
      <c r="J27" s="23">
        <f>SUM(L27:W27)</f>
        <v>638628.31058823504</v>
      </c>
      <c r="K27" s="24">
        <f>J27*5.6</f>
        <v>3576318.5392941162</v>
      </c>
      <c r="L27" s="25">
        <v>159657.07764705876</v>
      </c>
      <c r="M27" s="25">
        <v>159657.07764705876</v>
      </c>
      <c r="N27" s="25">
        <v>159657.07764705876</v>
      </c>
      <c r="O27" s="25">
        <v>159657.07764705876</v>
      </c>
      <c r="P27" s="25"/>
      <c r="Q27" s="25"/>
      <c r="R27" s="25"/>
      <c r="S27" s="25"/>
      <c r="T27" s="25"/>
      <c r="U27" s="25"/>
      <c r="V27" s="25"/>
      <c r="W27" s="25"/>
      <c r="X27" s="26"/>
    </row>
    <row r="28" spans="1:24" s="27" customFormat="1" ht="13.5" customHeight="1" x14ac:dyDescent="0.35">
      <c r="A28" s="18" t="s">
        <v>164</v>
      </c>
      <c r="B28" s="20" t="s">
        <v>165</v>
      </c>
      <c r="C28" s="19" t="s">
        <v>28</v>
      </c>
      <c r="D28" s="19" t="s">
        <v>29</v>
      </c>
      <c r="E28" s="19" t="s">
        <v>30</v>
      </c>
      <c r="F28" s="19" t="s">
        <v>31</v>
      </c>
      <c r="G28" s="19" t="s">
        <v>38</v>
      </c>
      <c r="H28" s="21">
        <v>634219.77499999979</v>
      </c>
      <c r="I28" s="22">
        <f>H28*5.6</f>
        <v>3551630.7399999988</v>
      </c>
      <c r="J28" s="23">
        <f>SUM(L28:W28)</f>
        <v>605957.18399999989</v>
      </c>
      <c r="K28" s="24">
        <f>J28*5.6</f>
        <v>3393360.2303999993</v>
      </c>
      <c r="L28" s="25"/>
      <c r="M28" s="25"/>
      <c r="N28" s="25"/>
      <c r="O28" s="25"/>
      <c r="P28" s="25"/>
      <c r="Q28" s="25"/>
      <c r="R28" s="25">
        <v>605957.18399999989</v>
      </c>
      <c r="S28" s="25"/>
      <c r="T28" s="25"/>
      <c r="U28" s="25"/>
      <c r="V28" s="25"/>
      <c r="W28" s="25"/>
      <c r="X28" s="26"/>
    </row>
    <row r="29" spans="1:24" s="27" customFormat="1" ht="13.5" customHeight="1" x14ac:dyDescent="0.35">
      <c r="A29" s="18" t="s">
        <v>102</v>
      </c>
      <c r="B29" s="20" t="s">
        <v>103</v>
      </c>
      <c r="C29" s="19" t="s">
        <v>46</v>
      </c>
      <c r="D29" s="19" t="s">
        <v>46</v>
      </c>
      <c r="E29" s="19" t="s">
        <v>53</v>
      </c>
      <c r="F29" s="19" t="s">
        <v>46</v>
      </c>
      <c r="G29" s="19" t="s">
        <v>54</v>
      </c>
      <c r="H29" s="21">
        <v>0</v>
      </c>
      <c r="I29" s="22">
        <v>0</v>
      </c>
      <c r="J29" s="23">
        <f>SUM(L29:W29)</f>
        <v>483465.89</v>
      </c>
      <c r="K29" s="24">
        <f>J29*5.6</f>
        <v>2707408.9839999997</v>
      </c>
      <c r="L29" s="25"/>
      <c r="M29" s="25"/>
      <c r="N29" s="25"/>
      <c r="O29" s="25"/>
      <c r="P29" s="25"/>
      <c r="Q29" s="25">
        <v>483465.89</v>
      </c>
      <c r="R29" s="25"/>
      <c r="S29" s="25"/>
      <c r="T29" s="25"/>
      <c r="U29" s="25"/>
      <c r="V29" s="25"/>
      <c r="W29" s="25"/>
      <c r="X29" s="26"/>
    </row>
    <row r="30" spans="1:24" s="27" customFormat="1" ht="13.5" customHeight="1" x14ac:dyDescent="0.35">
      <c r="A30" s="18" t="s">
        <v>104</v>
      </c>
      <c r="B30" s="20" t="s">
        <v>105</v>
      </c>
      <c r="C30" s="19" t="s">
        <v>46</v>
      </c>
      <c r="D30" s="19" t="s">
        <v>46</v>
      </c>
      <c r="E30" s="19" t="s">
        <v>53</v>
      </c>
      <c r="F30" s="19" t="s">
        <v>46</v>
      </c>
      <c r="G30" s="19" t="s">
        <v>54</v>
      </c>
      <c r="H30" s="21">
        <v>0</v>
      </c>
      <c r="I30" s="22">
        <v>0</v>
      </c>
      <c r="J30" s="23">
        <f>SUM(L30:W30)</f>
        <v>473766.79</v>
      </c>
      <c r="K30" s="24">
        <f>J30*5.6</f>
        <v>2653094.0239999997</v>
      </c>
      <c r="L30" s="25"/>
      <c r="M30" s="25"/>
      <c r="N30" s="25"/>
      <c r="O30" s="25"/>
      <c r="P30" s="25"/>
      <c r="Q30" s="25">
        <v>473766.79</v>
      </c>
      <c r="R30" s="25"/>
      <c r="S30" s="25"/>
      <c r="T30" s="25"/>
      <c r="U30" s="25"/>
      <c r="V30" s="25"/>
      <c r="W30" s="25"/>
      <c r="X30" s="26"/>
    </row>
    <row r="31" spans="1:24" s="27" customFormat="1" ht="13.5" customHeight="1" x14ac:dyDescent="0.35">
      <c r="A31" s="18" t="s">
        <v>39</v>
      </c>
      <c r="B31" s="20" t="s">
        <v>41</v>
      </c>
      <c r="C31" s="19" t="s">
        <v>42</v>
      </c>
      <c r="D31" s="19" t="s">
        <v>29</v>
      </c>
      <c r="E31" s="19" t="s">
        <v>30</v>
      </c>
      <c r="F31" s="19" t="s">
        <v>31</v>
      </c>
      <c r="G31" s="19" t="s">
        <v>32</v>
      </c>
      <c r="H31" s="21">
        <f>I31/5.6</f>
        <v>1006381.1705038267</v>
      </c>
      <c r="I31" s="22">
        <v>5635734.5548214288</v>
      </c>
      <c r="J31" s="23">
        <f>SUM(L31:W31)</f>
        <v>430107.95934714301</v>
      </c>
      <c r="K31" s="24">
        <f>J31*5.6</f>
        <v>2408604.5723440009</v>
      </c>
      <c r="L31" s="25"/>
      <c r="M31" s="25"/>
      <c r="N31" s="25"/>
      <c r="O31" s="25"/>
      <c r="P31" s="25"/>
      <c r="Q31" s="25"/>
      <c r="R31" s="25">
        <v>430107.95934714301</v>
      </c>
      <c r="S31" s="25"/>
      <c r="T31" s="25"/>
      <c r="U31" s="25"/>
      <c r="V31" s="25"/>
      <c r="W31" s="25"/>
      <c r="X31" s="26"/>
    </row>
    <row r="32" spans="1:24" s="27" customFormat="1" ht="13.5" customHeight="1" x14ac:dyDescent="0.35">
      <c r="A32" s="18" t="s">
        <v>134</v>
      </c>
      <c r="B32" s="20" t="s">
        <v>136</v>
      </c>
      <c r="C32" s="19" t="s">
        <v>35</v>
      </c>
      <c r="D32" s="19" t="s">
        <v>36</v>
      </c>
      <c r="E32" s="19" t="s">
        <v>37</v>
      </c>
      <c r="F32" s="19" t="s">
        <v>31</v>
      </c>
      <c r="G32" s="19" t="s">
        <v>32</v>
      </c>
      <c r="H32" s="21">
        <v>0</v>
      </c>
      <c r="I32" s="22">
        <f>H32*5.6</f>
        <v>0</v>
      </c>
      <c r="J32" s="23">
        <f>SUM(L32:W32)</f>
        <v>408995.46428571432</v>
      </c>
      <c r="K32" s="24">
        <f>J32*5.6</f>
        <v>2290374.6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408995.46428571432</v>
      </c>
      <c r="S32" s="25"/>
      <c r="T32" s="25"/>
      <c r="U32" s="25"/>
      <c r="V32" s="25"/>
      <c r="W32" s="25"/>
      <c r="X32" s="26"/>
    </row>
    <row r="33" spans="1:24" s="27" customFormat="1" ht="13.5" customHeight="1" x14ac:dyDescent="0.35">
      <c r="A33" s="18" t="s">
        <v>111</v>
      </c>
      <c r="B33" s="20" t="s">
        <v>112</v>
      </c>
      <c r="C33" s="19" t="s">
        <v>46</v>
      </c>
      <c r="D33" s="19" t="s">
        <v>46</v>
      </c>
      <c r="E33" s="19" t="s">
        <v>53</v>
      </c>
      <c r="F33" s="19" t="s">
        <v>46</v>
      </c>
      <c r="G33" s="19" t="s">
        <v>32</v>
      </c>
      <c r="H33" s="21">
        <v>0</v>
      </c>
      <c r="I33" s="22">
        <v>0</v>
      </c>
      <c r="J33" s="23">
        <f>SUM(L33:W33)</f>
        <v>405544.29</v>
      </c>
      <c r="K33" s="24">
        <f>J33*5.6</f>
        <v>2271048.0239999997</v>
      </c>
      <c r="L33" s="25"/>
      <c r="M33" s="25"/>
      <c r="N33" s="25"/>
      <c r="O33" s="25"/>
      <c r="P33" s="25"/>
      <c r="Q33" s="25">
        <v>405544.29</v>
      </c>
      <c r="R33" s="25"/>
      <c r="S33" s="25"/>
      <c r="T33" s="25"/>
      <c r="U33" s="25"/>
      <c r="V33" s="25"/>
      <c r="W33" s="25"/>
      <c r="X33" s="26"/>
    </row>
    <row r="34" spans="1:24" s="27" customFormat="1" ht="13.5" customHeight="1" x14ac:dyDescent="0.35">
      <c r="A34" s="18" t="s">
        <v>115</v>
      </c>
      <c r="B34" s="20" t="s">
        <v>116</v>
      </c>
      <c r="C34" s="19" t="s">
        <v>46</v>
      </c>
      <c r="D34" s="19" t="s">
        <v>46</v>
      </c>
      <c r="E34" s="19" t="s">
        <v>53</v>
      </c>
      <c r="F34" s="19" t="s">
        <v>46</v>
      </c>
      <c r="G34" s="19" t="s">
        <v>54</v>
      </c>
      <c r="H34" s="21">
        <v>0</v>
      </c>
      <c r="I34" s="22">
        <v>0</v>
      </c>
      <c r="J34" s="23">
        <f>SUM(L34:W34)</f>
        <v>393566.02</v>
      </c>
      <c r="K34" s="24">
        <f>J34*5.6</f>
        <v>2203969.7119999998</v>
      </c>
      <c r="L34" s="25"/>
      <c r="M34" s="25"/>
      <c r="N34" s="25"/>
      <c r="O34" s="25"/>
      <c r="P34" s="25"/>
      <c r="Q34" s="25">
        <v>393566.02</v>
      </c>
      <c r="R34" s="25"/>
      <c r="S34" s="25"/>
      <c r="T34" s="25"/>
      <c r="U34" s="25"/>
      <c r="V34" s="25"/>
      <c r="W34" s="25"/>
      <c r="X34" s="26"/>
    </row>
    <row r="35" spans="1:24" s="27" customFormat="1" ht="13.5" customHeight="1" x14ac:dyDescent="0.35">
      <c r="A35" s="18" t="s">
        <v>117</v>
      </c>
      <c r="B35" s="20" t="s">
        <v>118</v>
      </c>
      <c r="C35" s="19" t="s">
        <v>46</v>
      </c>
      <c r="D35" s="19" t="s">
        <v>46</v>
      </c>
      <c r="E35" s="19" t="s">
        <v>53</v>
      </c>
      <c r="F35" s="19" t="s">
        <v>46</v>
      </c>
      <c r="G35" s="19" t="s">
        <v>54</v>
      </c>
      <c r="H35" s="21">
        <v>0</v>
      </c>
      <c r="I35" s="22">
        <v>0</v>
      </c>
      <c r="J35" s="23">
        <f>SUM(L35:W35)</f>
        <v>393375.36</v>
      </c>
      <c r="K35" s="24">
        <f>J35*5.6</f>
        <v>2202902.0159999998</v>
      </c>
      <c r="L35" s="25"/>
      <c r="M35" s="25"/>
      <c r="N35" s="25"/>
      <c r="O35" s="25"/>
      <c r="P35" s="25"/>
      <c r="Q35" s="25">
        <v>393375.36</v>
      </c>
      <c r="R35" s="25"/>
      <c r="S35" s="25"/>
      <c r="T35" s="25"/>
      <c r="U35" s="25"/>
      <c r="V35" s="25"/>
      <c r="W35" s="25"/>
      <c r="X35" s="26"/>
    </row>
    <row r="36" spans="1:24" s="27" customFormat="1" ht="13.5" customHeight="1" x14ac:dyDescent="0.35">
      <c r="A36" s="18" t="s">
        <v>119</v>
      </c>
      <c r="B36" s="20" t="s">
        <v>120</v>
      </c>
      <c r="C36" s="19" t="s">
        <v>46</v>
      </c>
      <c r="D36" s="19" t="s">
        <v>46</v>
      </c>
      <c r="E36" s="19" t="s">
        <v>53</v>
      </c>
      <c r="F36" s="19" t="s">
        <v>46</v>
      </c>
      <c r="G36" s="19" t="s">
        <v>54</v>
      </c>
      <c r="H36" s="21">
        <v>0</v>
      </c>
      <c r="I36" s="22">
        <v>0</v>
      </c>
      <c r="J36" s="23">
        <f>SUM(L36:W36)</f>
        <v>355205.54</v>
      </c>
      <c r="K36" s="24">
        <f>J36*5.6</f>
        <v>1989151.0239999997</v>
      </c>
      <c r="L36" s="25"/>
      <c r="M36" s="25"/>
      <c r="N36" s="25"/>
      <c r="O36" s="25"/>
      <c r="P36" s="25"/>
      <c r="Q36" s="25">
        <v>355205.54</v>
      </c>
      <c r="R36" s="25"/>
      <c r="S36" s="25"/>
      <c r="T36" s="25"/>
      <c r="U36" s="25"/>
      <c r="V36" s="25"/>
      <c r="W36" s="25"/>
      <c r="X36" s="26"/>
    </row>
    <row r="37" spans="1:24" s="27" customFormat="1" ht="13.5" customHeight="1" x14ac:dyDescent="0.35">
      <c r="A37" s="18" t="s">
        <v>184</v>
      </c>
      <c r="B37" s="20" t="s">
        <v>185</v>
      </c>
      <c r="C37" s="19" t="s">
        <v>186</v>
      </c>
      <c r="D37" s="19" t="s">
        <v>36</v>
      </c>
      <c r="E37" s="19" t="s">
        <v>37</v>
      </c>
      <c r="F37" s="19" t="s">
        <v>31</v>
      </c>
      <c r="G37" s="19" t="s">
        <v>32</v>
      </c>
      <c r="H37" s="21">
        <v>0</v>
      </c>
      <c r="I37" s="22">
        <f>H37*5.6</f>
        <v>0</v>
      </c>
      <c r="J37" s="23">
        <f>SUM(L37:W37)</f>
        <v>337064.83214285714</v>
      </c>
      <c r="K37" s="24">
        <f>J37*5.6</f>
        <v>1887563.0599999998</v>
      </c>
      <c r="L37" s="25">
        <v>102522.18571428572</v>
      </c>
      <c r="M37" s="25">
        <v>45897.946428571435</v>
      </c>
      <c r="N37" s="25">
        <v>46626.233928571433</v>
      </c>
      <c r="O37" s="25">
        <v>0</v>
      </c>
      <c r="P37" s="25">
        <v>2401.6678571428574</v>
      </c>
      <c r="Q37" s="25">
        <v>87765.685714285719</v>
      </c>
      <c r="R37" s="25">
        <v>51851.112500000003</v>
      </c>
      <c r="S37" s="25"/>
      <c r="T37" s="25"/>
      <c r="U37" s="25"/>
      <c r="V37" s="25"/>
      <c r="W37" s="25"/>
      <c r="X37" s="26"/>
    </row>
    <row r="38" spans="1:24" s="27" customFormat="1" ht="13.5" customHeight="1" x14ac:dyDescent="0.35">
      <c r="A38" s="18" t="s">
        <v>211</v>
      </c>
      <c r="B38" s="20" t="s">
        <v>212</v>
      </c>
      <c r="C38" s="19" t="s">
        <v>213</v>
      </c>
      <c r="D38" s="19" t="s">
        <v>50</v>
      </c>
      <c r="E38" s="19" t="s">
        <v>30</v>
      </c>
      <c r="F38" s="19" t="s">
        <v>31</v>
      </c>
      <c r="G38" s="19" t="s">
        <v>38</v>
      </c>
      <c r="H38" s="21">
        <v>0</v>
      </c>
      <c r="I38" s="22">
        <f>H38*5.6</f>
        <v>0</v>
      </c>
      <c r="J38" s="23">
        <f>SUM(L38:W38)</f>
        <v>331102.02</v>
      </c>
      <c r="K38" s="24">
        <f>J38*5.6</f>
        <v>1854171.3119999999</v>
      </c>
      <c r="L38" s="25"/>
      <c r="M38" s="25"/>
      <c r="N38" s="25"/>
      <c r="O38" s="25"/>
      <c r="P38" s="25"/>
      <c r="Q38" s="25"/>
      <c r="R38" s="25">
        <v>331102.02</v>
      </c>
      <c r="S38" s="25"/>
      <c r="T38" s="25"/>
      <c r="U38" s="25"/>
      <c r="V38" s="25"/>
      <c r="W38" s="25"/>
      <c r="X38" s="26"/>
    </row>
    <row r="39" spans="1:24" s="27" customFormat="1" ht="13.5" customHeight="1" x14ac:dyDescent="0.35">
      <c r="A39" s="18" t="s">
        <v>141</v>
      </c>
      <c r="B39" s="20" t="s">
        <v>142</v>
      </c>
      <c r="C39" s="19" t="s">
        <v>35</v>
      </c>
      <c r="D39" s="19" t="s">
        <v>36</v>
      </c>
      <c r="E39" s="19" t="s">
        <v>37</v>
      </c>
      <c r="F39" s="19" t="s">
        <v>31</v>
      </c>
      <c r="G39" s="19" t="s">
        <v>32</v>
      </c>
      <c r="H39" s="21">
        <v>91215.786485534642</v>
      </c>
      <c r="I39" s="22">
        <f>H39*5.6</f>
        <v>510808.40431899397</v>
      </c>
      <c r="J39" s="23">
        <f>SUM(L39:W39)</f>
        <v>273439.38571428577</v>
      </c>
      <c r="K39" s="24">
        <f>J39*5.6</f>
        <v>1531260.5600000003</v>
      </c>
      <c r="L39" s="25">
        <v>85308.832142857151</v>
      </c>
      <c r="M39" s="25">
        <v>188130.55357142861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/>
      <c r="T39" s="25"/>
      <c r="U39" s="25"/>
      <c r="V39" s="25"/>
      <c r="W39" s="25"/>
      <c r="X39" s="26"/>
    </row>
    <row r="40" spans="1:24" s="27" customFormat="1" ht="13.5" customHeight="1" x14ac:dyDescent="0.35">
      <c r="A40" s="18" t="s">
        <v>195</v>
      </c>
      <c r="B40" s="20" t="s">
        <v>196</v>
      </c>
      <c r="C40" s="19" t="s">
        <v>35</v>
      </c>
      <c r="D40" s="19" t="s">
        <v>36</v>
      </c>
      <c r="E40" s="19" t="s">
        <v>37</v>
      </c>
      <c r="F40" s="19" t="s">
        <v>31</v>
      </c>
      <c r="G40" s="19" t="s">
        <v>32</v>
      </c>
      <c r="H40" s="21">
        <v>0</v>
      </c>
      <c r="I40" s="22">
        <f>H40*5.6</f>
        <v>0</v>
      </c>
      <c r="J40" s="23">
        <f>SUM(L40:W40)</f>
        <v>270812.13749999995</v>
      </c>
      <c r="K40" s="24">
        <f>J40*5.6</f>
        <v>1516547.9699999997</v>
      </c>
      <c r="L40" s="25">
        <v>20235.35892857143</v>
      </c>
      <c r="M40" s="25">
        <v>63848.535714285717</v>
      </c>
      <c r="N40" s="25">
        <v>0</v>
      </c>
      <c r="O40" s="25">
        <v>35203.741071428572</v>
      </c>
      <c r="P40" s="25">
        <v>62942.373214285712</v>
      </c>
      <c r="Q40" s="25">
        <v>49263.37857142857</v>
      </c>
      <c r="R40" s="25">
        <v>39318.75</v>
      </c>
      <c r="S40" s="25"/>
      <c r="T40" s="25"/>
      <c r="U40" s="25"/>
      <c r="V40" s="25"/>
      <c r="W40" s="25"/>
      <c r="X40" s="26"/>
    </row>
    <row r="41" spans="1:24" s="27" customFormat="1" ht="13.5" customHeight="1" x14ac:dyDescent="0.35">
      <c r="A41" s="18" t="s">
        <v>197</v>
      </c>
      <c r="B41" s="20" t="s">
        <v>198</v>
      </c>
      <c r="C41" s="19" t="s">
        <v>129</v>
      </c>
      <c r="D41" s="19" t="s">
        <v>101</v>
      </c>
      <c r="E41" s="19" t="s">
        <v>37</v>
      </c>
      <c r="F41" s="19" t="s">
        <v>31</v>
      </c>
      <c r="G41" s="19" t="s">
        <v>32</v>
      </c>
      <c r="H41" s="21">
        <v>53148.843080357154</v>
      </c>
      <c r="I41" s="22">
        <f>H41*5.6</f>
        <v>297633.52125000005</v>
      </c>
      <c r="J41" s="23">
        <f>SUM(L41:W41)</f>
        <v>267522.59821428574</v>
      </c>
      <c r="K41" s="24">
        <f>J41*5.6</f>
        <v>1498126.55</v>
      </c>
      <c r="L41" s="25">
        <v>0</v>
      </c>
      <c r="M41" s="25">
        <v>0</v>
      </c>
      <c r="N41" s="25">
        <v>0</v>
      </c>
      <c r="O41" s="25">
        <v>0</v>
      </c>
      <c r="P41" s="25">
        <v>82557.364285714284</v>
      </c>
      <c r="Q41" s="25">
        <v>6027.9625000000005</v>
      </c>
      <c r="R41" s="25">
        <v>178937.27142857146</v>
      </c>
      <c r="S41" s="25"/>
      <c r="T41" s="25"/>
      <c r="U41" s="25"/>
      <c r="V41" s="25"/>
      <c r="W41" s="25"/>
      <c r="X41" s="26"/>
    </row>
    <row r="42" spans="1:24" s="27" customFormat="1" ht="13.5" customHeight="1" x14ac:dyDescent="0.35">
      <c r="A42" s="18" t="s">
        <v>244</v>
      </c>
      <c r="B42" s="20" t="s">
        <v>245</v>
      </c>
      <c r="C42" s="19" t="s">
        <v>186</v>
      </c>
      <c r="D42" s="19" t="s">
        <v>36</v>
      </c>
      <c r="E42" s="19" t="s">
        <v>37</v>
      </c>
      <c r="F42" s="19" t="s">
        <v>31</v>
      </c>
      <c r="G42" s="19" t="s">
        <v>32</v>
      </c>
      <c r="H42" s="21">
        <v>396227.30714285717</v>
      </c>
      <c r="I42" s="22">
        <f>H42*5.6</f>
        <v>2218872.92</v>
      </c>
      <c r="J42" s="23">
        <f>SUM(L42:W42)</f>
        <v>258617.43214285714</v>
      </c>
      <c r="K42" s="24">
        <f>J42*5.6</f>
        <v>1448257.6199999999</v>
      </c>
      <c r="L42" s="25">
        <v>41363.303571428572</v>
      </c>
      <c r="M42" s="25">
        <v>42040.35</v>
      </c>
      <c r="N42" s="25">
        <v>41473.942857142858</v>
      </c>
      <c r="O42" s="25">
        <v>42452.725000000006</v>
      </c>
      <c r="P42" s="25">
        <v>44169.676785714291</v>
      </c>
      <c r="Q42" s="25">
        <v>59.516071428571436</v>
      </c>
      <c r="R42" s="25">
        <v>47057.917857142864</v>
      </c>
      <c r="S42" s="25"/>
      <c r="T42" s="25"/>
      <c r="U42" s="25"/>
      <c r="V42" s="25"/>
      <c r="W42" s="25"/>
      <c r="X42" s="26"/>
    </row>
    <row r="43" spans="1:24" s="27" customFormat="1" ht="13.5" customHeight="1" x14ac:dyDescent="0.35">
      <c r="A43" s="18" t="s">
        <v>137</v>
      </c>
      <c r="B43" s="20" t="s">
        <v>138</v>
      </c>
      <c r="C43" s="19" t="s">
        <v>28</v>
      </c>
      <c r="D43" s="19" t="s">
        <v>36</v>
      </c>
      <c r="E43" s="19" t="s">
        <v>37</v>
      </c>
      <c r="F43" s="19" t="s">
        <v>31</v>
      </c>
      <c r="G43" s="19" t="s">
        <v>32</v>
      </c>
      <c r="H43" s="21">
        <v>163910</v>
      </c>
      <c r="I43" s="22">
        <f>H43*5.6</f>
        <v>917896</v>
      </c>
      <c r="J43" s="23">
        <f>SUM(L43:W43)</f>
        <v>228250.98105263151</v>
      </c>
      <c r="K43" s="24">
        <f>J43*5.6</f>
        <v>1278205.4938947363</v>
      </c>
      <c r="L43" s="25">
        <v>57062.745263157878</v>
      </c>
      <c r="M43" s="25">
        <v>57062.745263157878</v>
      </c>
      <c r="N43" s="25">
        <v>57062.745263157878</v>
      </c>
      <c r="O43" s="25">
        <v>57062.745263157878</v>
      </c>
      <c r="P43" s="25"/>
      <c r="Q43" s="25"/>
      <c r="R43" s="25"/>
      <c r="S43" s="25"/>
      <c r="T43" s="25"/>
      <c r="U43" s="25"/>
      <c r="V43" s="25"/>
      <c r="W43" s="25"/>
      <c r="X43" s="26"/>
    </row>
    <row r="44" spans="1:24" s="27" customFormat="1" ht="13.5" customHeight="1" x14ac:dyDescent="0.35">
      <c r="A44" s="18" t="s">
        <v>172</v>
      </c>
      <c r="B44" s="20" t="s">
        <v>173</v>
      </c>
      <c r="C44" s="19" t="s">
        <v>91</v>
      </c>
      <c r="D44" s="19" t="s">
        <v>92</v>
      </c>
      <c r="E44" s="19" t="s">
        <v>30</v>
      </c>
      <c r="F44" s="19" t="s">
        <v>31</v>
      </c>
      <c r="G44" s="19" t="s">
        <v>32</v>
      </c>
      <c r="H44" s="21">
        <v>153714.28571428571</v>
      </c>
      <c r="I44" s="22">
        <f>H44*5.6</f>
        <v>860799.99999999988</v>
      </c>
      <c r="J44" s="23">
        <f>SUM(L44:W44)</f>
        <v>215441.10178571427</v>
      </c>
      <c r="K44" s="24">
        <f>J44*5.6</f>
        <v>1206470.17</v>
      </c>
      <c r="L44" s="25">
        <v>0</v>
      </c>
      <c r="M44" s="25">
        <v>0</v>
      </c>
      <c r="N44" s="25">
        <v>12907.682142857144</v>
      </c>
      <c r="O44" s="25">
        <v>33147.892857142855</v>
      </c>
      <c r="P44" s="25">
        <v>86012.798214285707</v>
      </c>
      <c r="Q44" s="25">
        <v>17009.548214285714</v>
      </c>
      <c r="R44" s="25">
        <v>66363.180357142861</v>
      </c>
      <c r="S44" s="25"/>
      <c r="T44" s="25"/>
      <c r="U44" s="25"/>
      <c r="V44" s="25"/>
      <c r="W44" s="25"/>
      <c r="X44" s="26"/>
    </row>
    <row r="45" spans="1:24" s="27" customFormat="1" ht="13.5" customHeight="1" x14ac:dyDescent="0.35">
      <c r="A45" s="18" t="s">
        <v>449</v>
      </c>
      <c r="B45" s="20" t="s">
        <v>450</v>
      </c>
      <c r="C45" s="19" t="s">
        <v>183</v>
      </c>
      <c r="D45" s="19" t="s">
        <v>60</v>
      </c>
      <c r="E45" s="19" t="s">
        <v>30</v>
      </c>
      <c r="F45" s="19" t="s">
        <v>31</v>
      </c>
      <c r="G45" s="19" t="s">
        <v>32</v>
      </c>
      <c r="H45" s="21">
        <v>466071.42857142858</v>
      </c>
      <c r="I45" s="22">
        <f>H45*5.6</f>
        <v>2610000</v>
      </c>
      <c r="J45" s="23">
        <f>SUM(L45:W45)</f>
        <v>211748.18392857147</v>
      </c>
      <c r="K45" s="24">
        <f>J45*5.6</f>
        <v>1185789.83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211748.18392857147</v>
      </c>
      <c r="S45" s="25"/>
      <c r="T45" s="25"/>
      <c r="U45" s="25"/>
      <c r="V45" s="25"/>
      <c r="W45" s="25"/>
      <c r="X45" s="26"/>
    </row>
    <row r="46" spans="1:24" s="27" customFormat="1" ht="13.5" customHeight="1" x14ac:dyDescent="0.35">
      <c r="A46" s="18" t="s">
        <v>220</v>
      </c>
      <c r="B46" s="20" t="s">
        <v>221</v>
      </c>
      <c r="C46" s="19" t="s">
        <v>91</v>
      </c>
      <c r="D46" s="19" t="s">
        <v>92</v>
      </c>
      <c r="E46" s="19" t="s">
        <v>30</v>
      </c>
      <c r="F46" s="19" t="s">
        <v>31</v>
      </c>
      <c r="G46" s="19" t="s">
        <v>38</v>
      </c>
      <c r="H46" s="21">
        <v>125000.00000000001</v>
      </c>
      <c r="I46" s="22">
        <f>H46*5.6</f>
        <v>700000</v>
      </c>
      <c r="J46" s="23">
        <f>SUM(L46:W46)</f>
        <v>200064.77678571429</v>
      </c>
      <c r="K46" s="24">
        <f>J46*5.6</f>
        <v>1120362.75</v>
      </c>
      <c r="L46" s="25">
        <v>29277.776785714286</v>
      </c>
      <c r="M46" s="25">
        <v>0</v>
      </c>
      <c r="N46" s="25">
        <v>0</v>
      </c>
      <c r="O46" s="25">
        <v>32530.857142857141</v>
      </c>
      <c r="P46" s="25">
        <v>65061.714285714283</v>
      </c>
      <c r="Q46" s="25">
        <v>73194.42857142858</v>
      </c>
      <c r="R46" s="25"/>
      <c r="S46" s="25"/>
      <c r="T46" s="25"/>
      <c r="U46" s="25"/>
      <c r="V46" s="25"/>
      <c r="W46" s="25"/>
      <c r="X46" s="26"/>
    </row>
    <row r="47" spans="1:24" s="27" customFormat="1" ht="13.5" customHeight="1" x14ac:dyDescent="0.35">
      <c r="A47" s="18" t="s">
        <v>230</v>
      </c>
      <c r="B47" s="20" t="s">
        <v>231</v>
      </c>
      <c r="C47" s="19" t="s">
        <v>97</v>
      </c>
      <c r="D47" s="19" t="s">
        <v>50</v>
      </c>
      <c r="E47" s="19" t="s">
        <v>30</v>
      </c>
      <c r="F47" s="19" t="s">
        <v>31</v>
      </c>
      <c r="G47" s="19" t="s">
        <v>38</v>
      </c>
      <c r="H47" s="21">
        <v>110416.66666666669</v>
      </c>
      <c r="I47" s="22">
        <f>H47*5.6</f>
        <v>618333.33333333337</v>
      </c>
      <c r="J47" s="23">
        <f>SUM(L47:W47)</f>
        <v>198226.51</v>
      </c>
      <c r="K47" s="24">
        <f>J47*5.6</f>
        <v>1110068.456</v>
      </c>
      <c r="L47" s="25"/>
      <c r="M47" s="25"/>
      <c r="N47" s="25"/>
      <c r="O47" s="25"/>
      <c r="P47" s="25"/>
      <c r="Q47" s="25"/>
      <c r="R47" s="25">
        <v>198226.51</v>
      </c>
      <c r="S47" s="25"/>
      <c r="T47" s="25"/>
      <c r="U47" s="25"/>
      <c r="V47" s="25"/>
      <c r="W47" s="25"/>
      <c r="X47" s="26"/>
    </row>
    <row r="48" spans="1:24" s="27" customFormat="1" ht="13.5" customHeight="1" x14ac:dyDescent="0.35">
      <c r="A48" s="18" t="s">
        <v>143</v>
      </c>
      <c r="B48" s="20" t="s">
        <v>144</v>
      </c>
      <c r="C48" s="19" t="s">
        <v>46</v>
      </c>
      <c r="D48" s="19" t="s">
        <v>46</v>
      </c>
      <c r="E48" s="19" t="s">
        <v>53</v>
      </c>
      <c r="F48" s="19" t="s">
        <v>46</v>
      </c>
      <c r="G48" s="19" t="s">
        <v>54</v>
      </c>
      <c r="H48" s="21">
        <v>0</v>
      </c>
      <c r="I48" s="22">
        <v>0</v>
      </c>
      <c r="J48" s="23">
        <f>SUM(L48:W48)</f>
        <v>196428.57</v>
      </c>
      <c r="K48" s="24">
        <f>J48*5.6</f>
        <v>1099999.9920000001</v>
      </c>
      <c r="L48" s="25"/>
      <c r="M48" s="25"/>
      <c r="N48" s="25"/>
      <c r="O48" s="25"/>
      <c r="P48" s="25"/>
      <c r="Q48" s="25">
        <v>196428.57</v>
      </c>
      <c r="R48" s="25"/>
      <c r="S48" s="25"/>
      <c r="T48" s="25"/>
      <c r="U48" s="25"/>
      <c r="V48" s="25"/>
      <c r="W48" s="25"/>
      <c r="X48" s="26"/>
    </row>
    <row r="49" spans="1:24" s="27" customFormat="1" ht="13.5" customHeight="1" x14ac:dyDescent="0.35">
      <c r="A49" s="18" t="s">
        <v>234</v>
      </c>
      <c r="B49" s="20" t="s">
        <v>235</v>
      </c>
      <c r="C49" s="19" t="s">
        <v>28</v>
      </c>
      <c r="D49" s="19" t="s">
        <v>29</v>
      </c>
      <c r="E49" s="19" t="s">
        <v>30</v>
      </c>
      <c r="F49" s="19" t="s">
        <v>31</v>
      </c>
      <c r="G49" s="19" t="s">
        <v>38</v>
      </c>
      <c r="H49" s="21">
        <v>79444</v>
      </c>
      <c r="I49" s="22">
        <f>H49*5.6</f>
        <v>444886.39999999997</v>
      </c>
      <c r="J49" s="23">
        <f>SUM(L49:W49)</f>
        <v>195878.45777777769</v>
      </c>
      <c r="K49" s="24">
        <f>J49*5.6</f>
        <v>1096919.363555555</v>
      </c>
      <c r="L49" s="25"/>
      <c r="M49" s="25"/>
      <c r="N49" s="25"/>
      <c r="O49" s="25">
        <v>195878.45777777769</v>
      </c>
      <c r="P49" s="25"/>
      <c r="Q49" s="25"/>
      <c r="R49" s="25"/>
      <c r="S49" s="25"/>
      <c r="T49" s="25"/>
      <c r="U49" s="25"/>
      <c r="V49" s="25"/>
      <c r="W49" s="25"/>
      <c r="X49" s="26"/>
    </row>
    <row r="50" spans="1:24" s="27" customFormat="1" ht="13.5" customHeight="1" x14ac:dyDescent="0.35">
      <c r="A50" s="18" t="s">
        <v>147</v>
      </c>
      <c r="B50" s="20" t="s">
        <v>148</v>
      </c>
      <c r="C50" s="19" t="s">
        <v>46</v>
      </c>
      <c r="D50" s="19" t="s">
        <v>46</v>
      </c>
      <c r="E50" s="19" t="s">
        <v>53</v>
      </c>
      <c r="F50" s="19" t="s">
        <v>46</v>
      </c>
      <c r="G50" s="19" t="s">
        <v>54</v>
      </c>
      <c r="H50" s="21">
        <v>0</v>
      </c>
      <c r="I50" s="22">
        <v>0</v>
      </c>
      <c r="J50" s="23">
        <f>SUM(L50:W50)</f>
        <v>191227.68</v>
      </c>
      <c r="K50" s="24">
        <f>J50*5.6</f>
        <v>1070875.0079999999</v>
      </c>
      <c r="L50" s="25"/>
      <c r="M50" s="25"/>
      <c r="N50" s="25"/>
      <c r="O50" s="25"/>
      <c r="P50" s="25"/>
      <c r="Q50" s="25">
        <v>191227.68</v>
      </c>
      <c r="R50" s="25"/>
      <c r="S50" s="25"/>
      <c r="T50" s="25"/>
      <c r="U50" s="25"/>
      <c r="V50" s="25"/>
      <c r="W50" s="25"/>
      <c r="X50" s="26"/>
    </row>
    <row r="51" spans="1:24" s="27" customFormat="1" ht="13.5" customHeight="1" x14ac:dyDescent="0.35">
      <c r="A51" s="18" t="s">
        <v>149</v>
      </c>
      <c r="B51" s="20" t="s">
        <v>150</v>
      </c>
      <c r="C51" s="19" t="s">
        <v>28</v>
      </c>
      <c r="D51" s="19" t="s">
        <v>29</v>
      </c>
      <c r="E51" s="19" t="s">
        <v>30</v>
      </c>
      <c r="F51" s="19" t="s">
        <v>31</v>
      </c>
      <c r="G51" s="19" t="s">
        <v>32</v>
      </c>
      <c r="H51" s="21">
        <v>30110.000000000004</v>
      </c>
      <c r="I51" s="22">
        <f>H51*5.6</f>
        <v>168616</v>
      </c>
      <c r="J51" s="23">
        <f>SUM(L51:W51)</f>
        <v>190468.09263157891</v>
      </c>
      <c r="K51" s="24">
        <f>J51*5.6</f>
        <v>1066621.3187368419</v>
      </c>
      <c r="L51" s="25">
        <v>47617.023157894728</v>
      </c>
      <c r="M51" s="25">
        <v>47617.023157894728</v>
      </c>
      <c r="N51" s="25">
        <v>47617.023157894728</v>
      </c>
      <c r="O51" s="25">
        <v>47617.023157894728</v>
      </c>
      <c r="P51" s="25"/>
      <c r="Q51" s="25"/>
      <c r="R51" s="25"/>
      <c r="S51" s="25"/>
      <c r="T51" s="25"/>
      <c r="U51" s="25"/>
      <c r="V51" s="25"/>
      <c r="W51" s="25"/>
      <c r="X51" s="26"/>
    </row>
    <row r="52" spans="1:24" s="27" customFormat="1" ht="13.5" customHeight="1" x14ac:dyDescent="0.35">
      <c r="A52" s="18" t="s">
        <v>151</v>
      </c>
      <c r="B52" s="20" t="s">
        <v>152</v>
      </c>
      <c r="C52" s="19" t="s">
        <v>46</v>
      </c>
      <c r="D52" s="19" t="s">
        <v>46</v>
      </c>
      <c r="E52" s="19" t="s">
        <v>53</v>
      </c>
      <c r="F52" s="19" t="s">
        <v>46</v>
      </c>
      <c r="G52" s="19" t="s">
        <v>54</v>
      </c>
      <c r="H52" s="21">
        <v>0</v>
      </c>
      <c r="I52" s="22">
        <v>0</v>
      </c>
      <c r="J52" s="23">
        <f>SUM(L52:W52)</f>
        <v>189986.43</v>
      </c>
      <c r="K52" s="24">
        <f>J52*5.6</f>
        <v>1063924.0079999999</v>
      </c>
      <c r="L52" s="25"/>
      <c r="M52" s="25"/>
      <c r="N52" s="25"/>
      <c r="O52" s="25"/>
      <c r="P52" s="25"/>
      <c r="Q52" s="25">
        <v>189986.43</v>
      </c>
      <c r="R52" s="25"/>
      <c r="S52" s="25"/>
      <c r="T52" s="25"/>
      <c r="U52" s="25"/>
      <c r="V52" s="25"/>
      <c r="W52" s="25"/>
      <c r="X52" s="26"/>
    </row>
    <row r="53" spans="1:24" s="27" customFormat="1" ht="13.5" customHeight="1" x14ac:dyDescent="0.35">
      <c r="A53" s="18" t="s">
        <v>162</v>
      </c>
      <c r="B53" s="20" t="s">
        <v>163</v>
      </c>
      <c r="C53" s="19" t="s">
        <v>35</v>
      </c>
      <c r="D53" s="19" t="s">
        <v>36</v>
      </c>
      <c r="E53" s="19" t="s">
        <v>37</v>
      </c>
      <c r="F53" s="19" t="s">
        <v>31</v>
      </c>
      <c r="G53" s="19" t="s">
        <v>32</v>
      </c>
      <c r="H53" s="21">
        <v>17131.080370166663</v>
      </c>
      <c r="I53" s="22">
        <f>H53*5.6</f>
        <v>95934.0500729333</v>
      </c>
      <c r="J53" s="23">
        <f>SUM(L53:W53)</f>
        <v>176927.53214285718</v>
      </c>
      <c r="K53" s="24">
        <f>J53*5.6</f>
        <v>990794.18000000017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176927.53214285718</v>
      </c>
      <c r="S53" s="25"/>
      <c r="T53" s="25"/>
      <c r="U53" s="25"/>
      <c r="V53" s="25"/>
      <c r="W53" s="25"/>
      <c r="X53" s="26"/>
    </row>
    <row r="54" spans="1:24" s="27" customFormat="1" ht="13.5" customHeight="1" x14ac:dyDescent="0.35">
      <c r="A54" s="18" t="s">
        <v>174</v>
      </c>
      <c r="B54" s="20" t="s">
        <v>175</v>
      </c>
      <c r="C54" s="19" t="s">
        <v>35</v>
      </c>
      <c r="D54" s="19" t="s">
        <v>36</v>
      </c>
      <c r="E54" s="19" t="s">
        <v>37</v>
      </c>
      <c r="F54" s="19" t="s">
        <v>31</v>
      </c>
      <c r="G54" s="19" t="s">
        <v>32</v>
      </c>
      <c r="H54" s="21">
        <v>0</v>
      </c>
      <c r="I54" s="22">
        <f>H54*5.6</f>
        <v>0</v>
      </c>
      <c r="J54" s="23">
        <f>SUM(L54:W54)</f>
        <v>175647.53750000001</v>
      </c>
      <c r="K54" s="24">
        <f>J54*5.6</f>
        <v>983626.21</v>
      </c>
      <c r="L54" s="25"/>
      <c r="M54" s="25"/>
      <c r="N54" s="25"/>
      <c r="O54" s="25"/>
      <c r="P54" s="25"/>
      <c r="Q54" s="25"/>
      <c r="R54" s="25">
        <v>175647.53750000001</v>
      </c>
      <c r="S54" s="25"/>
      <c r="T54" s="25"/>
      <c r="U54" s="25"/>
      <c r="V54" s="25"/>
      <c r="W54" s="25"/>
      <c r="X54" s="26"/>
    </row>
    <row r="55" spans="1:24" s="27" customFormat="1" ht="13.5" customHeight="1" x14ac:dyDescent="0.35">
      <c r="A55" s="18" t="s">
        <v>153</v>
      </c>
      <c r="B55" s="20" t="s">
        <v>154</v>
      </c>
      <c r="C55" s="19" t="s">
        <v>46</v>
      </c>
      <c r="D55" s="19" t="s">
        <v>46</v>
      </c>
      <c r="E55" s="19" t="s">
        <v>53</v>
      </c>
      <c r="F55" s="19" t="s">
        <v>46</v>
      </c>
      <c r="G55" s="19" t="s">
        <v>32</v>
      </c>
      <c r="H55" s="21">
        <v>0</v>
      </c>
      <c r="I55" s="22">
        <v>0</v>
      </c>
      <c r="J55" s="23">
        <f>SUM(L55:W55)</f>
        <v>166774.38</v>
      </c>
      <c r="K55" s="24">
        <f>J55*5.6</f>
        <v>933936.52799999993</v>
      </c>
      <c r="L55" s="25"/>
      <c r="M55" s="25"/>
      <c r="N55" s="25"/>
      <c r="O55" s="25"/>
      <c r="P55" s="25"/>
      <c r="Q55" s="25">
        <v>166774.38</v>
      </c>
      <c r="R55" s="25"/>
      <c r="S55" s="25"/>
      <c r="T55" s="25"/>
      <c r="U55" s="25"/>
      <c r="V55" s="25"/>
      <c r="W55" s="25"/>
      <c r="X55" s="26"/>
    </row>
    <row r="56" spans="1:24" s="27" customFormat="1" ht="13.5" customHeight="1" x14ac:dyDescent="0.35">
      <c r="A56" s="18" t="s">
        <v>155</v>
      </c>
      <c r="B56" s="20" t="s">
        <v>156</v>
      </c>
      <c r="C56" s="19" t="s">
        <v>65</v>
      </c>
      <c r="D56" s="19" t="s">
        <v>66</v>
      </c>
      <c r="E56" s="19" t="s">
        <v>37</v>
      </c>
      <c r="F56" s="19" t="s">
        <v>31</v>
      </c>
      <c r="G56" s="19" t="s">
        <v>32</v>
      </c>
      <c r="H56" s="21">
        <v>0</v>
      </c>
      <c r="I56" s="22">
        <v>0</v>
      </c>
      <c r="J56" s="23">
        <f>SUM(L56:W56)</f>
        <v>159557</v>
      </c>
      <c r="K56" s="24">
        <f>J56*5.6</f>
        <v>893519.2</v>
      </c>
      <c r="L56" s="25"/>
      <c r="M56" s="25"/>
      <c r="N56" s="25"/>
      <c r="O56" s="25"/>
      <c r="P56" s="25"/>
      <c r="Q56" s="25">
        <v>159557</v>
      </c>
      <c r="R56" s="25"/>
      <c r="S56" s="25"/>
      <c r="T56" s="25"/>
      <c r="U56" s="25"/>
      <c r="V56" s="25"/>
      <c r="W56" s="25"/>
      <c r="X56" s="26"/>
    </row>
    <row r="57" spans="1:24" s="27" customFormat="1" ht="13.5" customHeight="1" x14ac:dyDescent="0.35">
      <c r="A57" s="18" t="s">
        <v>157</v>
      </c>
      <c r="B57" s="20" t="s">
        <v>158</v>
      </c>
      <c r="C57" s="19" t="s">
        <v>159</v>
      </c>
      <c r="D57" s="19" t="s">
        <v>50</v>
      </c>
      <c r="E57" s="19" t="s">
        <v>30</v>
      </c>
      <c r="F57" s="19" t="s">
        <v>31</v>
      </c>
      <c r="G57" s="19" t="s">
        <v>32</v>
      </c>
      <c r="H57" s="21">
        <v>0</v>
      </c>
      <c r="I57" s="22">
        <v>0</v>
      </c>
      <c r="J57" s="23">
        <f>SUM(L57:W57)</f>
        <v>158928.571</v>
      </c>
      <c r="K57" s="24">
        <f>J57*5.6</f>
        <v>889999.99759999989</v>
      </c>
      <c r="L57" s="25"/>
      <c r="M57" s="25"/>
      <c r="N57" s="25"/>
      <c r="O57" s="25">
        <v>158928.571</v>
      </c>
      <c r="P57" s="25"/>
      <c r="Q57" s="25"/>
      <c r="R57" s="25"/>
      <c r="S57" s="25"/>
      <c r="T57" s="25"/>
      <c r="U57" s="25"/>
      <c r="V57" s="25"/>
      <c r="W57" s="25"/>
      <c r="X57" s="26"/>
    </row>
    <row r="58" spans="1:24" s="27" customFormat="1" ht="13.5" customHeight="1" x14ac:dyDescent="0.35">
      <c r="A58" s="18" t="s">
        <v>160</v>
      </c>
      <c r="B58" s="20" t="s">
        <v>161</v>
      </c>
      <c r="C58" s="19" t="s">
        <v>46</v>
      </c>
      <c r="D58" s="19" t="s">
        <v>46</v>
      </c>
      <c r="E58" s="19" t="s">
        <v>53</v>
      </c>
      <c r="F58" s="19" t="s">
        <v>46</v>
      </c>
      <c r="G58" s="19" t="s">
        <v>54</v>
      </c>
      <c r="H58" s="21">
        <v>0</v>
      </c>
      <c r="I58" s="22">
        <v>0</v>
      </c>
      <c r="J58" s="23">
        <f>SUM(L58:W58)</f>
        <v>150156.25</v>
      </c>
      <c r="K58" s="24">
        <f>J58*5.6</f>
        <v>840875</v>
      </c>
      <c r="L58" s="25"/>
      <c r="M58" s="25"/>
      <c r="N58" s="25"/>
      <c r="O58" s="25"/>
      <c r="P58" s="25"/>
      <c r="Q58" s="25">
        <v>150156.25</v>
      </c>
      <c r="R58" s="25"/>
      <c r="S58" s="25"/>
      <c r="T58" s="25"/>
      <c r="U58" s="25"/>
      <c r="V58" s="25"/>
      <c r="W58" s="25"/>
      <c r="X58" s="26"/>
    </row>
    <row r="59" spans="1:24" s="27" customFormat="1" ht="13.5" customHeight="1" x14ac:dyDescent="0.35">
      <c r="A59" s="18" t="s">
        <v>166</v>
      </c>
      <c r="B59" s="20" t="s">
        <v>167</v>
      </c>
      <c r="C59" s="19" t="s">
        <v>97</v>
      </c>
      <c r="D59" s="19" t="s">
        <v>50</v>
      </c>
      <c r="E59" s="19" t="s">
        <v>30</v>
      </c>
      <c r="F59" s="19" t="s">
        <v>31</v>
      </c>
      <c r="G59" s="19" t="s">
        <v>32</v>
      </c>
      <c r="H59" s="21">
        <v>0</v>
      </c>
      <c r="I59" s="22">
        <f>H59*5.6</f>
        <v>0</v>
      </c>
      <c r="J59" s="23">
        <f>SUM(L59:W59)</f>
        <v>145336.33571428573</v>
      </c>
      <c r="K59" s="24">
        <f>J59*5.6</f>
        <v>813883.48</v>
      </c>
      <c r="L59" s="25">
        <v>0</v>
      </c>
      <c r="M59" s="25">
        <v>0</v>
      </c>
      <c r="N59" s="25">
        <v>0</v>
      </c>
      <c r="O59" s="25">
        <v>0</v>
      </c>
      <c r="P59" s="25">
        <v>63502.485714285714</v>
      </c>
      <c r="Q59" s="25">
        <v>78208.192857142858</v>
      </c>
      <c r="R59" s="25">
        <v>3625.6571428571433</v>
      </c>
      <c r="S59" s="25"/>
      <c r="T59" s="25"/>
      <c r="U59" s="25"/>
      <c r="V59" s="25"/>
      <c r="W59" s="25"/>
      <c r="X59" s="26"/>
    </row>
    <row r="60" spans="1:24" s="27" customFormat="1" ht="13.5" customHeight="1" x14ac:dyDescent="0.35">
      <c r="A60" s="18" t="s">
        <v>236</v>
      </c>
      <c r="B60" s="20" t="s">
        <v>237</v>
      </c>
      <c r="C60" s="19" t="s">
        <v>186</v>
      </c>
      <c r="D60" s="19" t="s">
        <v>36</v>
      </c>
      <c r="E60" s="19" t="s">
        <v>37</v>
      </c>
      <c r="F60" s="19" t="s">
        <v>31</v>
      </c>
      <c r="G60" s="19" t="s">
        <v>32</v>
      </c>
      <c r="H60" s="21">
        <v>0</v>
      </c>
      <c r="I60" s="22">
        <f>H60*5.6</f>
        <v>0</v>
      </c>
      <c r="J60" s="23">
        <f>SUM(L60:W60)</f>
        <v>137433.64642857143</v>
      </c>
      <c r="K60" s="24">
        <f>J60*5.6</f>
        <v>769628.41999999993</v>
      </c>
      <c r="L60" s="25">
        <v>27202.526785714286</v>
      </c>
      <c r="M60" s="25">
        <v>12761.4</v>
      </c>
      <c r="N60" s="25">
        <v>20481.93392857143</v>
      </c>
      <c r="O60" s="25">
        <v>21832.35535714286</v>
      </c>
      <c r="P60" s="25">
        <v>21759.310714285715</v>
      </c>
      <c r="Q60" s="25">
        <v>21963.583928571432</v>
      </c>
      <c r="R60" s="25">
        <v>11432.535714285714</v>
      </c>
      <c r="S60" s="25"/>
      <c r="T60" s="25"/>
      <c r="U60" s="25"/>
      <c r="V60" s="25"/>
      <c r="W60" s="25"/>
      <c r="X60" s="26"/>
    </row>
    <row r="61" spans="1:24" s="27" customFormat="1" ht="13.5" customHeight="1" x14ac:dyDescent="0.35">
      <c r="A61" s="18" t="s">
        <v>201</v>
      </c>
      <c r="B61" s="20" t="s">
        <v>202</v>
      </c>
      <c r="C61" s="19" t="s">
        <v>35</v>
      </c>
      <c r="D61" s="19" t="s">
        <v>36</v>
      </c>
      <c r="E61" s="19" t="s">
        <v>37</v>
      </c>
      <c r="F61" s="19" t="s">
        <v>31</v>
      </c>
      <c r="G61" s="19" t="s">
        <v>32</v>
      </c>
      <c r="H61" s="21">
        <v>0</v>
      </c>
      <c r="I61" s="22">
        <f>H61*5.6</f>
        <v>0</v>
      </c>
      <c r="J61" s="23">
        <f>SUM(L61:W61)</f>
        <v>136457.95178571428</v>
      </c>
      <c r="K61" s="24">
        <f>J61*5.6</f>
        <v>764164.52999999991</v>
      </c>
      <c r="L61" s="25">
        <v>32626.612500000003</v>
      </c>
      <c r="M61" s="25">
        <v>17580.387500000001</v>
      </c>
      <c r="N61" s="25">
        <v>18111.142857142859</v>
      </c>
      <c r="O61" s="25">
        <v>18111.142857142859</v>
      </c>
      <c r="P61" s="25">
        <v>18111.142857142859</v>
      </c>
      <c r="Q61" s="25">
        <v>0</v>
      </c>
      <c r="R61" s="25">
        <v>31917.523214285717</v>
      </c>
      <c r="S61" s="25"/>
      <c r="T61" s="25"/>
      <c r="U61" s="25"/>
      <c r="V61" s="25"/>
      <c r="W61" s="25"/>
      <c r="X61" s="26"/>
    </row>
    <row r="62" spans="1:24" s="27" customFormat="1" ht="13.5" customHeight="1" x14ac:dyDescent="0.35">
      <c r="A62" s="18" t="s">
        <v>242</v>
      </c>
      <c r="B62" s="20" t="s">
        <v>243</v>
      </c>
      <c r="C62" s="19" t="s">
        <v>49</v>
      </c>
      <c r="D62" s="19" t="s">
        <v>50</v>
      </c>
      <c r="E62" s="19" t="s">
        <v>30</v>
      </c>
      <c r="F62" s="19" t="s">
        <v>31</v>
      </c>
      <c r="G62" s="19" t="s">
        <v>38</v>
      </c>
      <c r="H62" s="21">
        <v>75634.344153421422</v>
      </c>
      <c r="I62" s="22">
        <f>H62*5.6</f>
        <v>423552.32725915994</v>
      </c>
      <c r="J62" s="23">
        <f>SUM(L62:W62)</f>
        <v>126955.05740973928</v>
      </c>
      <c r="K62" s="24">
        <f>J62*5.6</f>
        <v>710948.32149453997</v>
      </c>
      <c r="L62" s="25"/>
      <c r="M62" s="25"/>
      <c r="N62" s="25"/>
      <c r="O62" s="25"/>
      <c r="P62" s="25"/>
      <c r="Q62" s="25"/>
      <c r="R62" s="25">
        <v>126955.05740973928</v>
      </c>
      <c r="S62" s="25"/>
      <c r="T62" s="25"/>
      <c r="U62" s="25"/>
      <c r="V62" s="25"/>
      <c r="W62" s="25"/>
      <c r="X62" s="26"/>
    </row>
    <row r="63" spans="1:24" s="27" customFormat="1" ht="13.5" customHeight="1" x14ac:dyDescent="0.35">
      <c r="A63" s="18" t="s">
        <v>168</v>
      </c>
      <c r="B63" s="20" t="s">
        <v>169</v>
      </c>
      <c r="C63" s="19" t="s">
        <v>46</v>
      </c>
      <c r="D63" s="19" t="s">
        <v>46</v>
      </c>
      <c r="E63" s="19" t="s">
        <v>53</v>
      </c>
      <c r="F63" s="19" t="s">
        <v>46</v>
      </c>
      <c r="G63" s="19" t="s">
        <v>54</v>
      </c>
      <c r="H63" s="21">
        <v>0</v>
      </c>
      <c r="I63" s="22">
        <v>0</v>
      </c>
      <c r="J63" s="23">
        <f>SUM(L63:W63)</f>
        <v>120701.88</v>
      </c>
      <c r="K63" s="24">
        <f>J63*5.6</f>
        <v>675930.52799999993</v>
      </c>
      <c r="L63" s="25"/>
      <c r="M63" s="25"/>
      <c r="N63" s="25"/>
      <c r="O63" s="25"/>
      <c r="P63" s="25"/>
      <c r="Q63" s="25">
        <v>120701.88</v>
      </c>
      <c r="R63" s="25"/>
      <c r="S63" s="25"/>
      <c r="T63" s="25"/>
      <c r="U63" s="25"/>
      <c r="V63" s="25"/>
      <c r="W63" s="25"/>
      <c r="X63" s="26"/>
    </row>
    <row r="64" spans="1:24" s="27" customFormat="1" ht="13.5" customHeight="1" x14ac:dyDescent="0.35">
      <c r="A64" s="18" t="s">
        <v>222</v>
      </c>
      <c r="B64" s="20" t="s">
        <v>223</v>
      </c>
      <c r="C64" s="19" t="s">
        <v>186</v>
      </c>
      <c r="D64" s="19" t="s">
        <v>36</v>
      </c>
      <c r="E64" s="19" t="s">
        <v>37</v>
      </c>
      <c r="F64" s="19" t="s">
        <v>31</v>
      </c>
      <c r="G64" s="19" t="s">
        <v>32</v>
      </c>
      <c r="H64" s="21">
        <v>0</v>
      </c>
      <c r="I64" s="22">
        <f>H64*5.6</f>
        <v>0</v>
      </c>
      <c r="J64" s="23">
        <f>SUM(L64:W64)</f>
        <v>116350.06250000001</v>
      </c>
      <c r="K64" s="24">
        <f>J64*5.6</f>
        <v>651560.35000000009</v>
      </c>
      <c r="L64" s="25">
        <v>35389.223214285717</v>
      </c>
      <c r="M64" s="25">
        <v>15843.328571428572</v>
      </c>
      <c r="N64" s="25">
        <v>16094.723214285716</v>
      </c>
      <c r="O64" s="25">
        <v>0</v>
      </c>
      <c r="P64" s="25">
        <v>829.02321428571429</v>
      </c>
      <c r="Q64" s="25">
        <v>30295.485714285718</v>
      </c>
      <c r="R64" s="25">
        <v>17898.278571428571</v>
      </c>
      <c r="S64" s="25"/>
      <c r="T64" s="25"/>
      <c r="U64" s="25"/>
      <c r="V64" s="25"/>
      <c r="W64" s="25"/>
      <c r="X64" s="26"/>
    </row>
    <row r="65" spans="1:24" s="27" customFormat="1" ht="13.5" customHeight="1" x14ac:dyDescent="0.35">
      <c r="A65" s="18" t="s">
        <v>170</v>
      </c>
      <c r="B65" s="20" t="s">
        <v>171</v>
      </c>
      <c r="C65" s="19" t="s">
        <v>46</v>
      </c>
      <c r="D65" s="19" t="s">
        <v>46</v>
      </c>
      <c r="E65" s="19" t="s">
        <v>53</v>
      </c>
      <c r="F65" s="19" t="s">
        <v>46</v>
      </c>
      <c r="G65" s="19" t="s">
        <v>54</v>
      </c>
      <c r="H65" s="21">
        <v>0</v>
      </c>
      <c r="I65" s="22">
        <v>0</v>
      </c>
      <c r="J65" s="23">
        <f>SUM(L65:W65)</f>
        <v>113712.14</v>
      </c>
      <c r="K65" s="24">
        <f>J65*5.6</f>
        <v>636787.98399999994</v>
      </c>
      <c r="L65" s="25"/>
      <c r="M65" s="25"/>
      <c r="N65" s="25"/>
      <c r="O65" s="25"/>
      <c r="P65" s="25"/>
      <c r="Q65" s="25">
        <v>113712.14</v>
      </c>
      <c r="R65" s="25"/>
      <c r="S65" s="25"/>
      <c r="T65" s="25"/>
      <c r="U65" s="25"/>
      <c r="V65" s="25"/>
      <c r="W65" s="25"/>
      <c r="X65" s="26"/>
    </row>
    <row r="66" spans="1:24" s="27" customFormat="1" ht="13.5" customHeight="1" x14ac:dyDescent="0.35">
      <c r="A66" s="18" t="s">
        <v>181</v>
      </c>
      <c r="B66" s="20" t="s">
        <v>182</v>
      </c>
      <c r="C66" s="19" t="s">
        <v>183</v>
      </c>
      <c r="D66" s="19" t="s">
        <v>60</v>
      </c>
      <c r="E66" s="19" t="s">
        <v>30</v>
      </c>
      <c r="F66" s="19" t="s">
        <v>31</v>
      </c>
      <c r="G66" s="19" t="s">
        <v>32</v>
      </c>
      <c r="H66" s="21">
        <v>197142.85714285716</v>
      </c>
      <c r="I66" s="22">
        <f>H66*5.6</f>
        <v>1104000</v>
      </c>
      <c r="J66" s="23">
        <f>SUM(L66:W66)</f>
        <v>113274.69464285715</v>
      </c>
      <c r="K66" s="24">
        <f>J66*5.6</f>
        <v>634338.29</v>
      </c>
      <c r="L66" s="25">
        <v>-8016.971428571429</v>
      </c>
      <c r="M66" s="25">
        <v>13386.173214285716</v>
      </c>
      <c r="N66" s="25">
        <v>-50266.867857142861</v>
      </c>
      <c r="O66" s="25">
        <v>21231.925000000003</v>
      </c>
      <c r="P66" s="25">
        <v>39790.266071428574</v>
      </c>
      <c r="Q66" s="25">
        <v>26204.814285714285</v>
      </c>
      <c r="R66" s="25">
        <v>70945.355357142864</v>
      </c>
      <c r="S66" s="25"/>
      <c r="T66" s="25"/>
      <c r="U66" s="25"/>
      <c r="V66" s="25"/>
      <c r="W66" s="25"/>
      <c r="X66" s="26"/>
    </row>
    <row r="67" spans="1:24" s="27" customFormat="1" ht="13.5" customHeight="1" x14ac:dyDescent="0.35">
      <c r="A67" s="18" t="s">
        <v>255</v>
      </c>
      <c r="B67" s="20" t="s">
        <v>256</v>
      </c>
      <c r="C67" s="19" t="s">
        <v>257</v>
      </c>
      <c r="D67" s="19" t="s">
        <v>92</v>
      </c>
      <c r="E67" s="19" t="s">
        <v>30</v>
      </c>
      <c r="F67" s="19" t="s">
        <v>31</v>
      </c>
      <c r="G67" s="19" t="s">
        <v>38</v>
      </c>
      <c r="H67" s="21">
        <v>109583.93249999998</v>
      </c>
      <c r="I67" s="22">
        <f>H67*5.6</f>
        <v>613670.02199999988</v>
      </c>
      <c r="J67" s="23">
        <f>SUM(L67:W67)</f>
        <v>113178.05892857144</v>
      </c>
      <c r="K67" s="24">
        <f>J67*5.6</f>
        <v>633797.13</v>
      </c>
      <c r="L67" s="25">
        <v>16425.487499999999</v>
      </c>
      <c r="M67" s="25">
        <v>20132.380357142858</v>
      </c>
      <c r="N67" s="25">
        <v>8768.0517857142859</v>
      </c>
      <c r="O67" s="25">
        <v>25218.212500000001</v>
      </c>
      <c r="P67" s="25">
        <v>18742.096428571429</v>
      </c>
      <c r="Q67" s="25">
        <v>6980.3196428571437</v>
      </c>
      <c r="R67" s="25">
        <v>16911.510714285716</v>
      </c>
      <c r="S67" s="25"/>
      <c r="T67" s="25"/>
      <c r="U67" s="25"/>
      <c r="V67" s="25"/>
      <c r="W67" s="25"/>
      <c r="X67" s="26"/>
    </row>
    <row r="68" spans="1:24" s="27" customFormat="1" ht="13.5" customHeight="1" x14ac:dyDescent="0.35">
      <c r="A68" s="18" t="s">
        <v>203</v>
      </c>
      <c r="B68" s="20" t="s">
        <v>204</v>
      </c>
      <c r="C68" s="19" t="s">
        <v>100</v>
      </c>
      <c r="D68" s="19" t="s">
        <v>101</v>
      </c>
      <c r="E68" s="19" t="s">
        <v>37</v>
      </c>
      <c r="F68" s="19" t="s">
        <v>31</v>
      </c>
      <c r="G68" s="19" t="s">
        <v>32</v>
      </c>
      <c r="H68" s="21">
        <v>29593.253968253968</v>
      </c>
      <c r="I68" s="22">
        <f>H68*5.6</f>
        <v>165722.22222222222</v>
      </c>
      <c r="J68" s="23">
        <f>SUM(L68:W68)</f>
        <v>112102.15357142857</v>
      </c>
      <c r="K68" s="24">
        <f>J68*5.6</f>
        <v>627772.05999999994</v>
      </c>
      <c r="L68" s="25">
        <v>23721.410714285714</v>
      </c>
      <c r="M68" s="25">
        <v>15458.692857142856</v>
      </c>
      <c r="N68" s="25">
        <v>7665.8160714285723</v>
      </c>
      <c r="O68" s="25">
        <v>13239.435714285715</v>
      </c>
      <c r="P68" s="25">
        <v>17749.373214285715</v>
      </c>
      <c r="Q68" s="25">
        <v>0</v>
      </c>
      <c r="R68" s="25">
        <v>34267.425000000003</v>
      </c>
      <c r="S68" s="25"/>
      <c r="T68" s="25"/>
      <c r="U68" s="25"/>
      <c r="V68" s="25"/>
      <c r="W68" s="25"/>
      <c r="X68" s="26"/>
    </row>
    <row r="69" spans="1:24" s="27" customFormat="1" ht="13.5" customHeight="1" x14ac:dyDescent="0.35">
      <c r="A69" s="18" t="s">
        <v>178</v>
      </c>
      <c r="B69" s="20" t="s">
        <v>179</v>
      </c>
      <c r="C69" s="19" t="s">
        <v>180</v>
      </c>
      <c r="D69" s="19" t="s">
        <v>50</v>
      </c>
      <c r="E69" s="19" t="s">
        <v>30</v>
      </c>
      <c r="F69" s="19" t="s">
        <v>31</v>
      </c>
      <c r="G69" s="19" t="s">
        <v>32</v>
      </c>
      <c r="H69" s="21">
        <v>0</v>
      </c>
      <c r="I69" s="22">
        <v>0</v>
      </c>
      <c r="J69" s="23">
        <f>SUM(L69:W69)</f>
        <v>107486.4892857143</v>
      </c>
      <c r="K69" s="24">
        <f>J69*5.6</f>
        <v>601924.34000000008</v>
      </c>
      <c r="L69" s="25">
        <v>0</v>
      </c>
      <c r="M69" s="25">
        <v>0</v>
      </c>
      <c r="N69" s="25">
        <v>47743.305357142861</v>
      </c>
      <c r="O69" s="25">
        <v>0</v>
      </c>
      <c r="P69" s="25">
        <v>59743.183928571438</v>
      </c>
      <c r="Q69" s="25">
        <v>0</v>
      </c>
      <c r="R69" s="25"/>
      <c r="S69" s="25"/>
      <c r="T69" s="25"/>
      <c r="U69" s="25"/>
      <c r="V69" s="25"/>
      <c r="W69" s="25"/>
      <c r="X69" s="26"/>
    </row>
    <row r="70" spans="1:24" s="27" customFormat="1" ht="13.5" customHeight="1" x14ac:dyDescent="0.35">
      <c r="A70" s="18" t="s">
        <v>176</v>
      </c>
      <c r="B70" s="20" t="s">
        <v>177</v>
      </c>
      <c r="C70" s="19" t="s">
        <v>46</v>
      </c>
      <c r="D70" s="19" t="s">
        <v>46</v>
      </c>
      <c r="E70" s="19" t="s">
        <v>53</v>
      </c>
      <c r="F70" s="19" t="s">
        <v>46</v>
      </c>
      <c r="G70" s="19" t="s">
        <v>54</v>
      </c>
      <c r="H70" s="21">
        <v>0</v>
      </c>
      <c r="I70" s="22">
        <v>0</v>
      </c>
      <c r="J70" s="23">
        <f>SUM(L70:W70)</f>
        <v>103134.82</v>
      </c>
      <c r="K70" s="24">
        <f>J70*5.6</f>
        <v>577554.99199999997</v>
      </c>
      <c r="L70" s="25"/>
      <c r="M70" s="25"/>
      <c r="N70" s="25"/>
      <c r="O70" s="25"/>
      <c r="P70" s="25"/>
      <c r="Q70" s="25">
        <v>103134.82</v>
      </c>
      <c r="R70" s="25"/>
      <c r="S70" s="25"/>
      <c r="T70" s="25"/>
      <c r="U70" s="25"/>
      <c r="V70" s="25"/>
      <c r="W70" s="25"/>
      <c r="X70" s="26"/>
    </row>
    <row r="71" spans="1:24" s="27" customFormat="1" ht="13.5" customHeight="1" x14ac:dyDescent="0.35">
      <c r="A71" s="18" t="s">
        <v>75</v>
      </c>
      <c r="B71" s="20" t="s">
        <v>76</v>
      </c>
      <c r="C71" s="19" t="s">
        <v>42</v>
      </c>
      <c r="D71" s="19" t="s">
        <v>29</v>
      </c>
      <c r="E71" s="19" t="s">
        <v>30</v>
      </c>
      <c r="F71" s="19" t="s">
        <v>31</v>
      </c>
      <c r="G71" s="19" t="s">
        <v>32</v>
      </c>
      <c r="H71" s="21">
        <v>142857.14285714287</v>
      </c>
      <c r="I71" s="22">
        <f>H71*5.6</f>
        <v>800000</v>
      </c>
      <c r="J71" s="23">
        <f>SUM(L71:W71)</f>
        <v>102213.88275000002</v>
      </c>
      <c r="K71" s="24">
        <f>J71*5.6</f>
        <v>572397.74340000004</v>
      </c>
      <c r="L71" s="25">
        <v>27576.414500000003</v>
      </c>
      <c r="M71" s="25">
        <v>13310.429250000001</v>
      </c>
      <c r="N71" s="25">
        <v>11599.426250000002</v>
      </c>
      <c r="O71" s="25">
        <v>20839.96</v>
      </c>
      <c r="P71" s="25">
        <v>11243.010500000002</v>
      </c>
      <c r="Q71" s="25">
        <v>17644.642250000001</v>
      </c>
      <c r="R71" s="25"/>
      <c r="S71" s="25"/>
      <c r="T71" s="25"/>
      <c r="U71" s="25"/>
      <c r="V71" s="25"/>
      <c r="W71" s="25"/>
      <c r="X71" s="26"/>
    </row>
    <row r="72" spans="1:24" s="27" customFormat="1" ht="13.5" customHeight="1" x14ac:dyDescent="0.35">
      <c r="A72" s="18" t="s">
        <v>89</v>
      </c>
      <c r="B72" s="20" t="s">
        <v>90</v>
      </c>
      <c r="C72" s="19" t="s">
        <v>91</v>
      </c>
      <c r="D72" s="19" t="s">
        <v>92</v>
      </c>
      <c r="E72" s="19" t="s">
        <v>30</v>
      </c>
      <c r="F72" s="19" t="s">
        <v>31</v>
      </c>
      <c r="G72" s="19" t="s">
        <v>32</v>
      </c>
      <c r="H72" s="21">
        <v>70000</v>
      </c>
      <c r="I72" s="22">
        <f>H72*5.6</f>
        <v>392000</v>
      </c>
      <c r="J72" s="23">
        <f>SUM(L72:W72)</f>
        <v>96749.298214285722</v>
      </c>
      <c r="K72" s="24">
        <f>J72*5.6</f>
        <v>541796.07000000007</v>
      </c>
      <c r="L72" s="25">
        <v>0</v>
      </c>
      <c r="M72" s="25">
        <v>0</v>
      </c>
      <c r="N72" s="25">
        <v>7382.8267857142864</v>
      </c>
      <c r="O72" s="25">
        <v>18532.95357142857</v>
      </c>
      <c r="P72" s="25">
        <v>66576.730357142864</v>
      </c>
      <c r="Q72" s="25">
        <v>2171.7196428571428</v>
      </c>
      <c r="R72" s="25">
        <v>2085.0678571428571</v>
      </c>
      <c r="S72" s="25"/>
      <c r="T72" s="25"/>
      <c r="U72" s="25"/>
      <c r="V72" s="25"/>
      <c r="W72" s="25"/>
      <c r="X72" s="26"/>
    </row>
    <row r="73" spans="1:24" s="27" customFormat="1" ht="13.5" customHeight="1" x14ac:dyDescent="0.35">
      <c r="A73" s="18" t="s">
        <v>189</v>
      </c>
      <c r="B73" s="20" t="s">
        <v>190</v>
      </c>
      <c r="C73" s="19" t="s">
        <v>28</v>
      </c>
      <c r="D73" s="19" t="s">
        <v>29</v>
      </c>
      <c r="E73" s="19" t="s">
        <v>30</v>
      </c>
      <c r="F73" s="19" t="s">
        <v>31</v>
      </c>
      <c r="G73" s="19" t="s">
        <v>32</v>
      </c>
      <c r="H73" s="21">
        <v>79444</v>
      </c>
      <c r="I73" s="22">
        <f>H73*5.6</f>
        <v>444886.39999999997</v>
      </c>
      <c r="J73" s="23">
        <f>SUM(L73:W73)</f>
        <v>92784.532631579088</v>
      </c>
      <c r="K73" s="24">
        <f>J73*5.6</f>
        <v>519593.38273684285</v>
      </c>
      <c r="L73" s="25"/>
      <c r="M73" s="25"/>
      <c r="N73" s="25"/>
      <c r="O73" s="25">
        <v>92784.532631579088</v>
      </c>
      <c r="P73" s="25"/>
      <c r="Q73" s="25"/>
      <c r="R73" s="25"/>
      <c r="S73" s="25"/>
      <c r="T73" s="25"/>
      <c r="U73" s="25"/>
      <c r="V73" s="25"/>
      <c r="W73" s="25"/>
      <c r="X73" s="26"/>
    </row>
    <row r="74" spans="1:24" s="27" customFormat="1" ht="13.5" customHeight="1" x14ac:dyDescent="0.35">
      <c r="A74" s="18" t="s">
        <v>191</v>
      </c>
      <c r="B74" s="20" t="s">
        <v>192</v>
      </c>
      <c r="C74" s="19" t="s">
        <v>46</v>
      </c>
      <c r="D74" s="19" t="s">
        <v>46</v>
      </c>
      <c r="E74" s="19" t="s">
        <v>53</v>
      </c>
      <c r="F74" s="19" t="s">
        <v>46</v>
      </c>
      <c r="G74" s="19" t="s">
        <v>54</v>
      </c>
      <c r="H74" s="21">
        <v>0</v>
      </c>
      <c r="I74" s="22">
        <v>0</v>
      </c>
      <c r="J74" s="23">
        <f>SUM(L74:W74)</f>
        <v>89700.13</v>
      </c>
      <c r="K74" s="24">
        <f>J74*5.6</f>
        <v>502320.728</v>
      </c>
      <c r="L74" s="25"/>
      <c r="M74" s="25"/>
      <c r="N74" s="25"/>
      <c r="O74" s="25"/>
      <c r="P74" s="25"/>
      <c r="Q74" s="25">
        <v>89700.13</v>
      </c>
      <c r="R74" s="25"/>
      <c r="S74" s="25"/>
      <c r="T74" s="25"/>
      <c r="U74" s="25"/>
      <c r="V74" s="25"/>
      <c r="W74" s="25"/>
      <c r="X74" s="26"/>
    </row>
    <row r="75" spans="1:24" s="27" customFormat="1" ht="13.5" customHeight="1" x14ac:dyDescent="0.35">
      <c r="A75" s="18" t="s">
        <v>193</v>
      </c>
      <c r="B75" s="20" t="s">
        <v>194</v>
      </c>
      <c r="C75" s="19" t="s">
        <v>46</v>
      </c>
      <c r="D75" s="19" t="s">
        <v>46</v>
      </c>
      <c r="E75" s="19" t="s">
        <v>53</v>
      </c>
      <c r="F75" s="19" t="s">
        <v>46</v>
      </c>
      <c r="G75" s="19" t="s">
        <v>54</v>
      </c>
      <c r="H75" s="21">
        <v>0</v>
      </c>
      <c r="I75" s="22">
        <v>0</v>
      </c>
      <c r="J75" s="23">
        <f>SUM(L75:W75)</f>
        <v>88958.04</v>
      </c>
      <c r="K75" s="24">
        <f>J75*5.6</f>
        <v>498165.02399999992</v>
      </c>
      <c r="L75" s="25"/>
      <c r="M75" s="25"/>
      <c r="N75" s="25"/>
      <c r="O75" s="25"/>
      <c r="P75" s="25"/>
      <c r="Q75" s="25">
        <v>88958.04</v>
      </c>
      <c r="R75" s="25"/>
      <c r="S75" s="25"/>
      <c r="T75" s="25"/>
      <c r="U75" s="25"/>
      <c r="V75" s="25"/>
      <c r="W75" s="25"/>
      <c r="X75" s="26"/>
    </row>
    <row r="76" spans="1:24" s="27" customFormat="1" ht="13.5" customHeight="1" x14ac:dyDescent="0.35">
      <c r="A76" s="18" t="s">
        <v>199</v>
      </c>
      <c r="B76" s="20" t="s">
        <v>200</v>
      </c>
      <c r="C76" s="19" t="s">
        <v>46</v>
      </c>
      <c r="D76" s="19" t="s">
        <v>46</v>
      </c>
      <c r="E76" s="19" t="s">
        <v>53</v>
      </c>
      <c r="F76" s="19" t="s">
        <v>46</v>
      </c>
      <c r="G76" s="19" t="s">
        <v>54</v>
      </c>
      <c r="H76" s="21">
        <v>0</v>
      </c>
      <c r="I76" s="22">
        <v>0</v>
      </c>
      <c r="J76" s="23">
        <f>SUM(L76:W76)</f>
        <v>81822.679999999993</v>
      </c>
      <c r="K76" s="24">
        <f>J76*5.6</f>
        <v>458207.00799999991</v>
      </c>
      <c r="L76" s="25"/>
      <c r="M76" s="25"/>
      <c r="N76" s="25"/>
      <c r="O76" s="25"/>
      <c r="P76" s="25"/>
      <c r="Q76" s="25">
        <v>81822.679999999993</v>
      </c>
      <c r="R76" s="25"/>
      <c r="S76" s="25"/>
      <c r="T76" s="25"/>
      <c r="U76" s="25"/>
      <c r="V76" s="25"/>
      <c r="W76" s="25"/>
      <c r="X76" s="26"/>
    </row>
    <row r="77" spans="1:24" s="27" customFormat="1" ht="13.5" customHeight="1" x14ac:dyDescent="0.35">
      <c r="A77" s="18" t="s">
        <v>261</v>
      </c>
      <c r="B77" s="20" t="s">
        <v>262</v>
      </c>
      <c r="C77" s="19" t="s">
        <v>257</v>
      </c>
      <c r="D77" s="19" t="s">
        <v>92</v>
      </c>
      <c r="E77" s="19" t="s">
        <v>30</v>
      </c>
      <c r="F77" s="19" t="s">
        <v>31</v>
      </c>
      <c r="G77" s="19" t="s">
        <v>38</v>
      </c>
      <c r="H77" s="21">
        <v>60000.000000000007</v>
      </c>
      <c r="I77" s="22">
        <f>H77*5.6</f>
        <v>336000</v>
      </c>
      <c r="J77" s="23">
        <f>SUM(L77:W77)</f>
        <v>76169.772142857153</v>
      </c>
      <c r="K77" s="24">
        <f>J77*5.6</f>
        <v>426550.72400000005</v>
      </c>
      <c r="L77" s="25">
        <v>10881.395</v>
      </c>
      <c r="M77" s="25">
        <v>10881.395</v>
      </c>
      <c r="N77" s="25">
        <v>10881.39642857143</v>
      </c>
      <c r="O77" s="25">
        <v>10881.39642857143</v>
      </c>
      <c r="P77" s="25">
        <v>10881.39642857143</v>
      </c>
      <c r="Q77" s="25">
        <v>10881.39642857143</v>
      </c>
      <c r="R77" s="25">
        <v>10881.39642857143</v>
      </c>
      <c r="S77" s="25"/>
      <c r="T77" s="25"/>
      <c r="U77" s="25"/>
      <c r="V77" s="25"/>
      <c r="W77" s="25"/>
      <c r="X77" s="26"/>
    </row>
    <row r="78" spans="1:24" s="27" customFormat="1" ht="13.5" customHeight="1" x14ac:dyDescent="0.35">
      <c r="A78" s="18" t="s">
        <v>205</v>
      </c>
      <c r="B78" s="20" t="s">
        <v>206</v>
      </c>
      <c r="C78" s="19" t="s">
        <v>46</v>
      </c>
      <c r="D78" s="19" t="s">
        <v>46</v>
      </c>
      <c r="E78" s="19" t="s">
        <v>53</v>
      </c>
      <c r="F78" s="19" t="s">
        <v>46</v>
      </c>
      <c r="G78" s="19" t="s">
        <v>54</v>
      </c>
      <c r="H78" s="21">
        <v>0</v>
      </c>
      <c r="I78" s="22">
        <v>0</v>
      </c>
      <c r="J78" s="23">
        <f>SUM(L78:W78)</f>
        <v>63294.46</v>
      </c>
      <c r="K78" s="24">
        <f>J78*5.6</f>
        <v>354448.97599999997</v>
      </c>
      <c r="L78" s="25"/>
      <c r="M78" s="25"/>
      <c r="N78" s="25"/>
      <c r="O78" s="25"/>
      <c r="P78" s="25"/>
      <c r="Q78" s="25">
        <v>63294.46</v>
      </c>
      <c r="R78" s="25"/>
      <c r="S78" s="25"/>
      <c r="T78" s="25"/>
      <c r="U78" s="25"/>
      <c r="V78" s="25"/>
      <c r="W78" s="25"/>
      <c r="X78" s="26"/>
    </row>
    <row r="79" spans="1:24" s="27" customFormat="1" ht="13.5" customHeight="1" x14ac:dyDescent="0.35">
      <c r="A79" s="18" t="s">
        <v>207</v>
      </c>
      <c r="B79" s="20" t="s">
        <v>208</v>
      </c>
      <c r="C79" s="19" t="s">
        <v>46</v>
      </c>
      <c r="D79" s="19" t="s">
        <v>46</v>
      </c>
      <c r="E79" s="19" t="s">
        <v>53</v>
      </c>
      <c r="F79" s="19" t="s">
        <v>46</v>
      </c>
      <c r="G79" s="19" t="s">
        <v>54</v>
      </c>
      <c r="H79" s="21">
        <v>0</v>
      </c>
      <c r="I79" s="22">
        <v>0</v>
      </c>
      <c r="J79" s="23">
        <f>SUM(L79:W79)</f>
        <v>58484.29</v>
      </c>
      <c r="K79" s="24">
        <f>J79*5.6</f>
        <v>327512.02399999998</v>
      </c>
      <c r="L79" s="25"/>
      <c r="M79" s="25"/>
      <c r="N79" s="25"/>
      <c r="O79" s="25"/>
      <c r="P79" s="25"/>
      <c r="Q79" s="25">
        <v>58484.29</v>
      </c>
      <c r="R79" s="25"/>
      <c r="S79" s="25"/>
      <c r="T79" s="25"/>
      <c r="U79" s="25"/>
      <c r="V79" s="25"/>
      <c r="W79" s="25"/>
      <c r="X79" s="26"/>
    </row>
    <row r="80" spans="1:24" s="27" customFormat="1" ht="13.5" customHeight="1" x14ac:dyDescent="0.35">
      <c r="A80" s="18" t="s">
        <v>275</v>
      </c>
      <c r="B80" s="20" t="s">
        <v>276</v>
      </c>
      <c r="C80" s="19" t="s">
        <v>186</v>
      </c>
      <c r="D80" s="19" t="s">
        <v>36</v>
      </c>
      <c r="E80" s="19" t="s">
        <v>37</v>
      </c>
      <c r="F80" s="19" t="s">
        <v>31</v>
      </c>
      <c r="G80" s="19" t="s">
        <v>32</v>
      </c>
      <c r="H80" s="21">
        <v>0</v>
      </c>
      <c r="I80" s="22">
        <f>H80*5.6</f>
        <v>0</v>
      </c>
      <c r="J80" s="23">
        <f>SUM(L80:W80)</f>
        <v>55363.812594879782</v>
      </c>
      <c r="K80" s="24">
        <f>J80*5.6</f>
        <v>310037.35053132678</v>
      </c>
      <c r="L80" s="25"/>
      <c r="M80" s="25">
        <v>12340.101785714287</v>
      </c>
      <c r="N80" s="25">
        <v>11815.837500000001</v>
      </c>
      <c r="O80" s="25">
        <v>9646.0625</v>
      </c>
      <c r="P80" s="25">
        <v>10280.098230028261</v>
      </c>
      <c r="Q80" s="25">
        <v>11281.712579137227</v>
      </c>
      <c r="R80" s="25"/>
      <c r="S80" s="25"/>
      <c r="T80" s="25"/>
      <c r="U80" s="25"/>
      <c r="V80" s="25"/>
      <c r="W80" s="25"/>
      <c r="X80" s="26"/>
    </row>
    <row r="81" spans="1:24" s="27" customFormat="1" ht="13.5" customHeight="1" x14ac:dyDescent="0.35">
      <c r="A81" s="18" t="s">
        <v>265</v>
      </c>
      <c r="B81" s="20" t="s">
        <v>266</v>
      </c>
      <c r="C81" s="19" t="s">
        <v>129</v>
      </c>
      <c r="D81" s="19" t="s">
        <v>101</v>
      </c>
      <c r="E81" s="19" t="s">
        <v>37</v>
      </c>
      <c r="F81" s="19" t="s">
        <v>31</v>
      </c>
      <c r="G81" s="19" t="s">
        <v>38</v>
      </c>
      <c r="H81" s="21">
        <v>51236.489012896825</v>
      </c>
      <c r="I81" s="22">
        <f>H81*5.6</f>
        <v>286924.33847222221</v>
      </c>
      <c r="J81" s="23">
        <f>SUM(L81:W81)</f>
        <v>54744.321428571435</v>
      </c>
      <c r="K81" s="24">
        <f>J81*5.6</f>
        <v>306568.2</v>
      </c>
      <c r="L81" s="25">
        <v>12563.041071428572</v>
      </c>
      <c r="M81" s="25">
        <v>6590.7285714285717</v>
      </c>
      <c r="N81" s="25">
        <v>6938.1517857142862</v>
      </c>
      <c r="O81" s="25">
        <v>0</v>
      </c>
      <c r="P81" s="25">
        <v>14029.62142857143</v>
      </c>
      <c r="Q81" s="25">
        <v>0</v>
      </c>
      <c r="R81" s="25">
        <v>14622.778571428573</v>
      </c>
      <c r="S81" s="25"/>
      <c r="T81" s="25"/>
      <c r="U81" s="25"/>
      <c r="V81" s="25"/>
      <c r="W81" s="25"/>
      <c r="X81" s="26"/>
    </row>
    <row r="82" spans="1:24" s="27" customFormat="1" ht="13.5" customHeight="1" x14ac:dyDescent="0.35">
      <c r="A82" s="18" t="s">
        <v>187</v>
      </c>
      <c r="B82" s="20" t="s">
        <v>188</v>
      </c>
      <c r="C82" s="19" t="s">
        <v>186</v>
      </c>
      <c r="D82" s="19" t="s">
        <v>36</v>
      </c>
      <c r="E82" s="19" t="s">
        <v>37</v>
      </c>
      <c r="F82" s="19" t="s">
        <v>31</v>
      </c>
      <c r="G82" s="19" t="s">
        <v>32</v>
      </c>
      <c r="H82" s="21">
        <v>330163.69047619047</v>
      </c>
      <c r="I82" s="22">
        <f>H82*5.6</f>
        <v>1848916.6666666665</v>
      </c>
      <c r="J82" s="23">
        <f>SUM(L82:W82)</f>
        <v>50354.625000000007</v>
      </c>
      <c r="K82" s="24">
        <f>J82*5.6</f>
        <v>281985.90000000002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50354.625000000007</v>
      </c>
      <c r="S82" s="25"/>
      <c r="T82" s="25"/>
      <c r="U82" s="25"/>
      <c r="V82" s="25"/>
      <c r="W82" s="25"/>
      <c r="X82" s="26"/>
    </row>
    <row r="83" spans="1:24" s="27" customFormat="1" ht="13.5" customHeight="1" x14ac:dyDescent="0.35">
      <c r="A83" s="18" t="s">
        <v>214</v>
      </c>
      <c r="B83" s="20" t="s">
        <v>215</v>
      </c>
      <c r="C83" s="19" t="s">
        <v>186</v>
      </c>
      <c r="D83" s="19" t="s">
        <v>36</v>
      </c>
      <c r="E83" s="19" t="s">
        <v>37</v>
      </c>
      <c r="F83" s="19" t="s">
        <v>31</v>
      </c>
      <c r="G83" s="19" t="s">
        <v>32</v>
      </c>
      <c r="H83" s="21">
        <v>0</v>
      </c>
      <c r="I83" s="22">
        <f>H83*5.6</f>
        <v>0</v>
      </c>
      <c r="J83" s="23">
        <f>SUM(L83:W83)</f>
        <v>47240.046428571426</v>
      </c>
      <c r="K83" s="24">
        <f>J83*5.6</f>
        <v>264544.25999999995</v>
      </c>
      <c r="L83" s="25">
        <v>17501.755357142858</v>
      </c>
      <c r="M83" s="25">
        <v>9000.7321428571431</v>
      </c>
      <c r="N83" s="25">
        <v>5521.5642857142857</v>
      </c>
      <c r="O83" s="25">
        <v>7722.0928571428576</v>
      </c>
      <c r="P83" s="25">
        <v>5120.0892857142862</v>
      </c>
      <c r="Q83" s="25">
        <v>1186.4107142857142</v>
      </c>
      <c r="R83" s="25">
        <v>1187.4017857142858</v>
      </c>
      <c r="S83" s="25"/>
      <c r="T83" s="25"/>
      <c r="U83" s="25"/>
      <c r="V83" s="25"/>
      <c r="W83" s="25"/>
      <c r="X83" s="26"/>
    </row>
    <row r="84" spans="1:24" s="27" customFormat="1" ht="13.5" customHeight="1" x14ac:dyDescent="0.35">
      <c r="A84" s="18" t="s">
        <v>226</v>
      </c>
      <c r="B84" s="20" t="s">
        <v>227</v>
      </c>
      <c r="C84" s="19" t="s">
        <v>100</v>
      </c>
      <c r="D84" s="19" t="s">
        <v>101</v>
      </c>
      <c r="E84" s="19" t="s">
        <v>37</v>
      </c>
      <c r="F84" s="19" t="s">
        <v>31</v>
      </c>
      <c r="G84" s="19" t="s">
        <v>32</v>
      </c>
      <c r="H84" s="21">
        <v>57678.571428571435</v>
      </c>
      <c r="I84" s="22">
        <f>H84*5.6</f>
        <v>323000</v>
      </c>
      <c r="J84" s="23">
        <f>SUM(L84:W84)</f>
        <v>46053.460714285713</v>
      </c>
      <c r="K84" s="24">
        <f>J84*5.6</f>
        <v>257899.37999999998</v>
      </c>
      <c r="L84" s="25">
        <v>12217.221428571429</v>
      </c>
      <c r="M84" s="25">
        <v>7592.0482142857154</v>
      </c>
      <c r="N84" s="25">
        <v>4712.1160714285716</v>
      </c>
      <c r="O84" s="25">
        <v>4818.125</v>
      </c>
      <c r="P84" s="25">
        <v>4934.4357142857143</v>
      </c>
      <c r="Q84" s="25">
        <v>4350.7089285714292</v>
      </c>
      <c r="R84" s="25">
        <v>7428.8053571428572</v>
      </c>
      <c r="S84" s="25"/>
      <c r="T84" s="25"/>
      <c r="U84" s="25"/>
      <c r="V84" s="25"/>
      <c r="W84" s="25"/>
      <c r="X84" s="26"/>
    </row>
    <row r="85" spans="1:24" s="27" customFormat="1" ht="13.5" customHeight="1" x14ac:dyDescent="0.35">
      <c r="A85" s="18" t="s">
        <v>226</v>
      </c>
      <c r="B85" s="20" t="s">
        <v>227</v>
      </c>
      <c r="C85" s="19" t="s">
        <v>100</v>
      </c>
      <c r="D85" s="19" t="s">
        <v>101</v>
      </c>
      <c r="E85" s="19" t="s">
        <v>37</v>
      </c>
      <c r="F85" s="19" t="s">
        <v>31</v>
      </c>
      <c r="G85" s="19" t="s">
        <v>38</v>
      </c>
      <c r="H85" s="21"/>
      <c r="I85" s="22"/>
      <c r="J85" s="23">
        <f>SUM(L85:W85)</f>
        <v>46053.460714285713</v>
      </c>
      <c r="K85" s="24">
        <f>J85*5.6</f>
        <v>257899.37999999998</v>
      </c>
      <c r="L85" s="25">
        <v>12217.221428571429</v>
      </c>
      <c r="M85" s="25">
        <v>7592.0482142857154</v>
      </c>
      <c r="N85" s="25">
        <v>4712.1160714285716</v>
      </c>
      <c r="O85" s="25">
        <v>4818.125</v>
      </c>
      <c r="P85" s="25">
        <v>4934.4357142857143</v>
      </c>
      <c r="Q85" s="25">
        <v>4350.7089285714292</v>
      </c>
      <c r="R85" s="25">
        <v>7428.8053571428572</v>
      </c>
      <c r="S85" s="25"/>
      <c r="T85" s="25"/>
      <c r="U85" s="25"/>
      <c r="V85" s="25"/>
      <c r="W85" s="25"/>
      <c r="X85" s="26"/>
    </row>
    <row r="86" spans="1:24" s="27" customFormat="1" ht="13.5" customHeight="1" x14ac:dyDescent="0.35">
      <c r="A86" s="18" t="s">
        <v>218</v>
      </c>
      <c r="B86" s="20" t="s">
        <v>219</v>
      </c>
      <c r="C86" s="19" t="s">
        <v>46</v>
      </c>
      <c r="D86" s="19" t="s">
        <v>46</v>
      </c>
      <c r="E86" s="19" t="s">
        <v>53</v>
      </c>
      <c r="F86" s="19" t="s">
        <v>46</v>
      </c>
      <c r="G86" s="19" t="s">
        <v>54</v>
      </c>
      <c r="H86" s="21">
        <v>0</v>
      </c>
      <c r="I86" s="22">
        <v>0</v>
      </c>
      <c r="J86" s="23">
        <f>SUM(L86:W86)</f>
        <v>41452.19</v>
      </c>
      <c r="K86" s="24">
        <f>J86*5.6</f>
        <v>232132.264</v>
      </c>
      <c r="L86" s="25"/>
      <c r="M86" s="25"/>
      <c r="N86" s="25"/>
      <c r="O86" s="25"/>
      <c r="P86" s="25"/>
      <c r="Q86" s="25">
        <v>41452.19</v>
      </c>
      <c r="R86" s="25"/>
      <c r="S86" s="25"/>
      <c r="T86" s="25"/>
      <c r="U86" s="25"/>
      <c r="V86" s="25"/>
      <c r="W86" s="25"/>
      <c r="X86" s="26"/>
    </row>
    <row r="87" spans="1:24" s="27" customFormat="1" ht="13.5" customHeight="1" x14ac:dyDescent="0.35">
      <c r="A87" s="18" t="s">
        <v>271</v>
      </c>
      <c r="B87" s="20" t="s">
        <v>272</v>
      </c>
      <c r="C87" s="19" t="s">
        <v>186</v>
      </c>
      <c r="D87" s="19" t="s">
        <v>36</v>
      </c>
      <c r="E87" s="19" t="s">
        <v>37</v>
      </c>
      <c r="F87" s="19" t="s">
        <v>31</v>
      </c>
      <c r="G87" s="19" t="s">
        <v>38</v>
      </c>
      <c r="H87" s="21">
        <v>7671.3584464285723</v>
      </c>
      <c r="I87" s="22">
        <f>H87*5.6</f>
        <v>42959.607300000003</v>
      </c>
      <c r="J87" s="23">
        <f>SUM(L87:W87)</f>
        <v>41318.692857142858</v>
      </c>
      <c r="K87" s="24">
        <f>J87*5.6</f>
        <v>231384.68</v>
      </c>
      <c r="L87" s="25">
        <v>1919.0803571428573</v>
      </c>
      <c r="M87" s="25">
        <v>1919.0803571428573</v>
      </c>
      <c r="N87" s="25">
        <v>8941.5535714285706</v>
      </c>
      <c r="O87" s="25">
        <v>7134.7446428571429</v>
      </c>
      <c r="P87" s="25">
        <v>7134.7446428571429</v>
      </c>
      <c r="Q87" s="25">
        <v>7134.7446428571429</v>
      </c>
      <c r="R87" s="25">
        <v>7134.7446428571429</v>
      </c>
      <c r="S87" s="25"/>
      <c r="T87" s="25"/>
      <c r="U87" s="25"/>
      <c r="V87" s="25"/>
      <c r="W87" s="25"/>
      <c r="X87" s="26"/>
    </row>
    <row r="88" spans="1:24" s="27" customFormat="1" ht="13.5" customHeight="1" x14ac:dyDescent="0.35">
      <c r="A88" s="18" t="s">
        <v>224</v>
      </c>
      <c r="B88" s="20" t="s">
        <v>225</v>
      </c>
      <c r="C88" s="19" t="s">
        <v>100</v>
      </c>
      <c r="D88" s="19" t="s">
        <v>101</v>
      </c>
      <c r="E88" s="19" t="s">
        <v>37</v>
      </c>
      <c r="F88" s="19" t="s">
        <v>31</v>
      </c>
      <c r="G88" s="19" t="s">
        <v>32</v>
      </c>
      <c r="H88" s="21">
        <v>7848.99</v>
      </c>
      <c r="I88" s="22">
        <f>H88*5.6</f>
        <v>43954.343999999997</v>
      </c>
      <c r="J88" s="23">
        <f>SUM(L88:W88)</f>
        <v>36468.057142857142</v>
      </c>
      <c r="K88" s="24">
        <f>J88*5.6</f>
        <v>204221.12</v>
      </c>
      <c r="L88" s="25">
        <v>6772.948214285715</v>
      </c>
      <c r="M88" s="25">
        <v>12181.005357142858</v>
      </c>
      <c r="N88" s="25">
        <v>5723.6178571428572</v>
      </c>
      <c r="O88" s="25">
        <v>5885.4821428571431</v>
      </c>
      <c r="P88" s="25">
        <v>5905.0035714285714</v>
      </c>
      <c r="Q88" s="25">
        <v>0</v>
      </c>
      <c r="R88" s="25"/>
      <c r="S88" s="25"/>
      <c r="T88" s="25"/>
      <c r="U88" s="25"/>
      <c r="V88" s="25"/>
      <c r="W88" s="25"/>
      <c r="X88" s="26"/>
    </row>
    <row r="89" spans="1:24" s="27" customFormat="1" ht="13.5" customHeight="1" x14ac:dyDescent="0.35">
      <c r="A89" s="18" t="s">
        <v>216</v>
      </c>
      <c r="B89" s="20" t="s">
        <v>217</v>
      </c>
      <c r="C89" s="19" t="s">
        <v>129</v>
      </c>
      <c r="D89" s="19" t="s">
        <v>101</v>
      </c>
      <c r="E89" s="19" t="s">
        <v>37</v>
      </c>
      <c r="F89" s="19" t="s">
        <v>31</v>
      </c>
      <c r="G89" s="19" t="s">
        <v>32</v>
      </c>
      <c r="H89" s="21"/>
      <c r="I89" s="22"/>
      <c r="J89" s="23">
        <f>SUM(L89:W89)</f>
        <v>32224.389285714286</v>
      </c>
      <c r="K89" s="24">
        <f>J89*5.6</f>
        <v>180456.58</v>
      </c>
      <c r="L89" s="25">
        <v>9470.1732142857145</v>
      </c>
      <c r="M89" s="25">
        <v>4745.6107142857145</v>
      </c>
      <c r="N89" s="25">
        <v>2002.3142857142857</v>
      </c>
      <c r="O89" s="25">
        <v>3608.1660714285717</v>
      </c>
      <c r="P89" s="25">
        <v>3231.2392857142859</v>
      </c>
      <c r="Q89" s="25">
        <v>0</v>
      </c>
      <c r="R89" s="25">
        <v>9166.8857142857141</v>
      </c>
      <c r="S89" s="25"/>
      <c r="T89" s="25"/>
      <c r="U89" s="25"/>
      <c r="V89" s="25"/>
      <c r="W89" s="25"/>
      <c r="X89" s="26"/>
    </row>
    <row r="90" spans="1:24" s="27" customFormat="1" ht="13.5" customHeight="1" x14ac:dyDescent="0.35">
      <c r="A90" s="18" t="s">
        <v>228</v>
      </c>
      <c r="B90" s="20" t="s">
        <v>229</v>
      </c>
      <c r="C90" s="19" t="s">
        <v>46</v>
      </c>
      <c r="D90" s="19" t="s">
        <v>46</v>
      </c>
      <c r="E90" s="19" t="s">
        <v>53</v>
      </c>
      <c r="F90" s="19" t="s">
        <v>46</v>
      </c>
      <c r="G90" s="19" t="s">
        <v>54</v>
      </c>
      <c r="H90" s="21">
        <v>0</v>
      </c>
      <c r="I90" s="22">
        <v>0</v>
      </c>
      <c r="J90" s="23">
        <f>SUM(L90:W90)</f>
        <v>31830.18</v>
      </c>
      <c r="K90" s="24">
        <f>J90*5.6</f>
        <v>178249.008</v>
      </c>
      <c r="L90" s="25"/>
      <c r="M90" s="25"/>
      <c r="N90" s="25"/>
      <c r="O90" s="25"/>
      <c r="P90" s="25"/>
      <c r="Q90" s="25">
        <v>31830.18</v>
      </c>
      <c r="R90" s="25"/>
      <c r="S90" s="25"/>
      <c r="T90" s="25"/>
      <c r="U90" s="25"/>
      <c r="V90" s="25"/>
      <c r="W90" s="25"/>
      <c r="X90" s="26"/>
    </row>
    <row r="91" spans="1:24" s="27" customFormat="1" ht="13.5" customHeight="1" x14ac:dyDescent="0.35">
      <c r="A91" s="18" t="s">
        <v>463</v>
      </c>
      <c r="B91" s="20" t="s">
        <v>464</v>
      </c>
      <c r="C91" s="19" t="s">
        <v>59</v>
      </c>
      <c r="D91" s="19" t="s">
        <v>60</v>
      </c>
      <c r="E91" s="19" t="s">
        <v>30</v>
      </c>
      <c r="F91" s="19" t="s">
        <v>31</v>
      </c>
      <c r="G91" s="19" t="s">
        <v>32</v>
      </c>
      <c r="H91" s="21">
        <v>1035892.8571428572</v>
      </c>
      <c r="I91" s="22">
        <f>H91*5.6</f>
        <v>5801000</v>
      </c>
      <c r="J91" s="23">
        <f>SUM(L91:W91)</f>
        <v>31062.000000000044</v>
      </c>
      <c r="K91" s="24">
        <f>J91*5.6</f>
        <v>173947.20000000024</v>
      </c>
      <c r="L91" s="25">
        <v>15531.000000000002</v>
      </c>
      <c r="M91" s="25">
        <v>0</v>
      </c>
      <c r="N91" s="25">
        <v>0</v>
      </c>
      <c r="O91" s="25">
        <v>0</v>
      </c>
      <c r="P91" s="25">
        <v>3356.7196428571433</v>
      </c>
      <c r="Q91" s="25">
        <v>12174.280357142899</v>
      </c>
      <c r="R91" s="25"/>
      <c r="S91" s="25"/>
      <c r="T91" s="25"/>
      <c r="U91" s="25"/>
      <c r="V91" s="25"/>
      <c r="W91" s="25"/>
      <c r="X91" s="26"/>
    </row>
    <row r="92" spans="1:24" s="27" customFormat="1" ht="13.5" customHeight="1" x14ac:dyDescent="0.35">
      <c r="A92" s="18" t="s">
        <v>281</v>
      </c>
      <c r="B92" s="20" t="s">
        <v>282</v>
      </c>
      <c r="C92" s="19" t="s">
        <v>129</v>
      </c>
      <c r="D92" s="19" t="s">
        <v>101</v>
      </c>
      <c r="E92" s="19" t="s">
        <v>37</v>
      </c>
      <c r="F92" s="19" t="s">
        <v>31</v>
      </c>
      <c r="G92" s="19" t="s">
        <v>32</v>
      </c>
      <c r="H92" s="21">
        <v>104027.07152777778</v>
      </c>
      <c r="I92" s="22">
        <f>H92*5.6</f>
        <v>582551.60055555555</v>
      </c>
      <c r="J92" s="23">
        <f>SUM(L92:W92)</f>
        <v>28413.041071428572</v>
      </c>
      <c r="K92" s="24">
        <f>J92*5.6</f>
        <v>159113.03</v>
      </c>
      <c r="L92" s="25">
        <v>19652.842857142859</v>
      </c>
      <c r="M92" s="25">
        <v>6643.3910714285712</v>
      </c>
      <c r="N92" s="25">
        <v>0</v>
      </c>
      <c r="O92" s="25">
        <v>0</v>
      </c>
      <c r="P92" s="25">
        <v>1921.6107142857145</v>
      </c>
      <c r="Q92" s="25">
        <v>0</v>
      </c>
      <c r="R92" s="25">
        <v>195.19642857142856</v>
      </c>
      <c r="S92" s="25"/>
      <c r="T92" s="25"/>
      <c r="U92" s="25"/>
      <c r="V92" s="25"/>
      <c r="W92" s="25"/>
      <c r="X92" s="26"/>
    </row>
    <row r="93" spans="1:24" s="27" customFormat="1" ht="13.5" customHeight="1" x14ac:dyDescent="0.35">
      <c r="A93" s="18" t="s">
        <v>232</v>
      </c>
      <c r="B93" s="20" t="s">
        <v>233</v>
      </c>
      <c r="C93" s="19" t="s">
        <v>46</v>
      </c>
      <c r="D93" s="19" t="s">
        <v>46</v>
      </c>
      <c r="E93" s="19" t="s">
        <v>53</v>
      </c>
      <c r="F93" s="19" t="s">
        <v>46</v>
      </c>
      <c r="G93" s="19" t="s">
        <v>32</v>
      </c>
      <c r="H93" s="21">
        <v>0</v>
      </c>
      <c r="I93" s="22">
        <v>0</v>
      </c>
      <c r="J93" s="23">
        <f>SUM(L93:W93)</f>
        <v>28303.64</v>
      </c>
      <c r="K93" s="24">
        <f>J93*5.6</f>
        <v>158500.38399999999</v>
      </c>
      <c r="L93" s="25"/>
      <c r="M93" s="25"/>
      <c r="N93" s="25"/>
      <c r="O93" s="25"/>
      <c r="P93" s="25"/>
      <c r="Q93" s="25">
        <v>28303.64</v>
      </c>
      <c r="R93" s="25"/>
      <c r="S93" s="25"/>
      <c r="T93" s="25"/>
      <c r="U93" s="25"/>
      <c r="V93" s="25"/>
      <c r="W93" s="25"/>
      <c r="X93" s="26"/>
    </row>
    <row r="94" spans="1:24" s="27" customFormat="1" ht="13.5" customHeight="1" x14ac:dyDescent="0.35">
      <c r="A94" s="18" t="s">
        <v>273</v>
      </c>
      <c r="B94" s="20" t="s">
        <v>274</v>
      </c>
      <c r="C94" s="19" t="s">
        <v>28</v>
      </c>
      <c r="D94" s="19" t="s">
        <v>29</v>
      </c>
      <c r="E94" s="19" t="s">
        <v>30</v>
      </c>
      <c r="F94" s="19" t="s">
        <v>31</v>
      </c>
      <c r="G94" s="19" t="s">
        <v>38</v>
      </c>
      <c r="H94" s="21">
        <v>254997.81354626897</v>
      </c>
      <c r="I94" s="22">
        <f>H94*5.6</f>
        <v>1427987.7558591061</v>
      </c>
      <c r="J94" s="23">
        <f>SUM(L94:W94)</f>
        <v>26110.62189744872</v>
      </c>
      <c r="K94" s="24">
        <f>J94*5.6</f>
        <v>146219.48262571282</v>
      </c>
      <c r="L94" s="25"/>
      <c r="M94" s="25">
        <v>3388.5449772160446</v>
      </c>
      <c r="N94" s="25">
        <v>1779.0754402085247</v>
      </c>
      <c r="O94" s="25">
        <v>3021.0473681249678</v>
      </c>
      <c r="P94" s="25">
        <v>9001.1766230206795</v>
      </c>
      <c r="Q94" s="25">
        <v>8920.7774888785007</v>
      </c>
      <c r="R94" s="25"/>
      <c r="S94" s="25"/>
      <c r="T94" s="25"/>
      <c r="U94" s="25"/>
      <c r="V94" s="25"/>
      <c r="W94" s="25"/>
      <c r="X94" s="26"/>
    </row>
    <row r="95" spans="1:24" s="27" customFormat="1" ht="13.5" customHeight="1" x14ac:dyDescent="0.35">
      <c r="A95" s="18" t="s">
        <v>246</v>
      </c>
      <c r="B95" s="20" t="s">
        <v>247</v>
      </c>
      <c r="C95" s="19" t="s">
        <v>35</v>
      </c>
      <c r="D95" s="19" t="s">
        <v>36</v>
      </c>
      <c r="E95" s="19" t="s">
        <v>37</v>
      </c>
      <c r="F95" s="19" t="s">
        <v>31</v>
      </c>
      <c r="G95" s="19" t="s">
        <v>32</v>
      </c>
      <c r="H95" s="21">
        <v>0</v>
      </c>
      <c r="I95" s="22">
        <f>H95*5.6</f>
        <v>0</v>
      </c>
      <c r="J95" s="23">
        <f>SUM(L95:W95)</f>
        <v>25075.510714285716</v>
      </c>
      <c r="K95" s="24">
        <f>J95*5.6</f>
        <v>140422.85999999999</v>
      </c>
      <c r="L95" s="25">
        <v>0</v>
      </c>
      <c r="M95" s="25">
        <v>0</v>
      </c>
      <c r="N95" s="25">
        <v>9899.2464285714286</v>
      </c>
      <c r="O95" s="25">
        <v>5201.2482142857152</v>
      </c>
      <c r="P95" s="25">
        <v>10.896428571428572</v>
      </c>
      <c r="Q95" s="25">
        <v>9964.1196428571438</v>
      </c>
      <c r="R95" s="25"/>
      <c r="S95" s="25"/>
      <c r="T95" s="25"/>
      <c r="U95" s="25"/>
      <c r="V95" s="25"/>
      <c r="W95" s="25"/>
      <c r="X95" s="26"/>
    </row>
    <row r="96" spans="1:24" s="27" customFormat="1" ht="13.5" customHeight="1" x14ac:dyDescent="0.35">
      <c r="A96" s="18" t="s">
        <v>209</v>
      </c>
      <c r="B96" s="20" t="s">
        <v>210</v>
      </c>
      <c r="C96" s="19" t="s">
        <v>100</v>
      </c>
      <c r="D96" s="19" t="s">
        <v>101</v>
      </c>
      <c r="E96" s="19" t="s">
        <v>37</v>
      </c>
      <c r="F96" s="19" t="s">
        <v>31</v>
      </c>
      <c r="G96" s="19" t="s">
        <v>32</v>
      </c>
      <c r="H96" s="21">
        <v>5975.6696428571431</v>
      </c>
      <c r="I96" s="22">
        <f>H96*5.6</f>
        <v>33463.75</v>
      </c>
      <c r="J96" s="23">
        <f>SUM(L96:W96)</f>
        <v>24677.571428571431</v>
      </c>
      <c r="K96" s="24">
        <f>J96*5.6</f>
        <v>138194.4</v>
      </c>
      <c r="L96" s="25">
        <v>6772.948214285715</v>
      </c>
      <c r="M96" s="25">
        <v>12181.005357142858</v>
      </c>
      <c r="N96" s="25">
        <v>5723.6178571428572</v>
      </c>
      <c r="O96" s="25"/>
      <c r="P96" s="25"/>
      <c r="Q96" s="25"/>
      <c r="R96" s="25"/>
      <c r="S96" s="25"/>
      <c r="T96" s="25"/>
      <c r="U96" s="25"/>
      <c r="V96" s="25"/>
      <c r="W96" s="25"/>
      <c r="X96" s="26"/>
    </row>
    <row r="97" spans="1:24" s="27" customFormat="1" ht="13.5" customHeight="1" x14ac:dyDescent="0.35">
      <c r="A97" s="18" t="s">
        <v>238</v>
      </c>
      <c r="B97" s="20" t="s">
        <v>239</v>
      </c>
      <c r="C97" s="19" t="s">
        <v>46</v>
      </c>
      <c r="D97" s="19" t="s">
        <v>46</v>
      </c>
      <c r="E97" s="19" t="s">
        <v>53</v>
      </c>
      <c r="F97" s="19" t="s">
        <v>46</v>
      </c>
      <c r="G97" s="19" t="s">
        <v>54</v>
      </c>
      <c r="H97" s="21">
        <v>0</v>
      </c>
      <c r="I97" s="22">
        <v>0</v>
      </c>
      <c r="J97" s="23">
        <f>SUM(L97:W97)</f>
        <v>21474.639999999999</v>
      </c>
      <c r="K97" s="24">
        <f>J97*5.6</f>
        <v>120257.98399999998</v>
      </c>
      <c r="L97" s="25"/>
      <c r="M97" s="25"/>
      <c r="N97" s="25"/>
      <c r="O97" s="25"/>
      <c r="P97" s="25"/>
      <c r="Q97" s="25">
        <v>21474.639999999999</v>
      </c>
      <c r="R97" s="25"/>
      <c r="S97" s="25"/>
      <c r="T97" s="25"/>
      <c r="U97" s="25"/>
      <c r="V97" s="25"/>
      <c r="W97" s="25"/>
      <c r="X97" s="26"/>
    </row>
    <row r="98" spans="1:24" s="27" customFormat="1" ht="13.5" customHeight="1" x14ac:dyDescent="0.35">
      <c r="A98" s="18" t="s">
        <v>240</v>
      </c>
      <c r="B98" s="20" t="s">
        <v>241</v>
      </c>
      <c r="C98" s="19" t="s">
        <v>46</v>
      </c>
      <c r="D98" s="19" t="s">
        <v>46</v>
      </c>
      <c r="E98" s="19" t="s">
        <v>53</v>
      </c>
      <c r="F98" s="19" t="s">
        <v>46</v>
      </c>
      <c r="G98" s="19" t="s">
        <v>54</v>
      </c>
      <c r="H98" s="21">
        <v>0</v>
      </c>
      <c r="I98" s="22">
        <v>0</v>
      </c>
      <c r="J98" s="23">
        <f>SUM(L98:W98)</f>
        <v>21142.86</v>
      </c>
      <c r="K98" s="24">
        <f>J98*5.6</f>
        <v>118400.01599999999</v>
      </c>
      <c r="L98" s="25"/>
      <c r="M98" s="25"/>
      <c r="N98" s="25"/>
      <c r="O98" s="25"/>
      <c r="P98" s="25"/>
      <c r="Q98" s="25">
        <v>21142.86</v>
      </c>
      <c r="R98" s="25"/>
      <c r="S98" s="25"/>
      <c r="T98" s="25"/>
      <c r="U98" s="25"/>
      <c r="V98" s="25"/>
      <c r="W98" s="25"/>
      <c r="X98" s="26"/>
    </row>
    <row r="99" spans="1:24" s="27" customFormat="1" ht="13.5" customHeight="1" x14ac:dyDescent="0.35">
      <c r="A99" s="18" t="s">
        <v>283</v>
      </c>
      <c r="B99" s="20" t="s">
        <v>284</v>
      </c>
      <c r="C99" s="19" t="s">
        <v>186</v>
      </c>
      <c r="D99" s="19" t="s">
        <v>36</v>
      </c>
      <c r="E99" s="19" t="s">
        <v>37</v>
      </c>
      <c r="F99" s="19" t="s">
        <v>31</v>
      </c>
      <c r="G99" s="19" t="s">
        <v>32</v>
      </c>
      <c r="H99" s="21">
        <v>0</v>
      </c>
      <c r="I99" s="22">
        <f>H99*5.6</f>
        <v>0</v>
      </c>
      <c r="J99" s="23">
        <f>SUM(L99:W99)</f>
        <v>19058.207142857143</v>
      </c>
      <c r="K99" s="24">
        <f>J99*5.6</f>
        <v>106725.95999999999</v>
      </c>
      <c r="L99" s="25">
        <v>0</v>
      </c>
      <c r="M99" s="25">
        <v>0</v>
      </c>
      <c r="N99" s="25">
        <v>0</v>
      </c>
      <c r="O99" s="25">
        <v>5611.760714285715</v>
      </c>
      <c r="P99" s="25">
        <v>0</v>
      </c>
      <c r="Q99" s="25">
        <v>7884.2089285714292</v>
      </c>
      <c r="R99" s="25">
        <v>5562.2375000000002</v>
      </c>
      <c r="S99" s="25"/>
      <c r="T99" s="25"/>
      <c r="U99" s="25"/>
      <c r="V99" s="25"/>
      <c r="W99" s="25"/>
      <c r="X99" s="26"/>
    </row>
    <row r="100" spans="1:24" s="27" customFormat="1" ht="13.5" customHeight="1" x14ac:dyDescent="0.35">
      <c r="A100" s="18" t="s">
        <v>287</v>
      </c>
      <c r="B100" s="20" t="s">
        <v>288</v>
      </c>
      <c r="C100" s="19" t="s">
        <v>35</v>
      </c>
      <c r="D100" s="19" t="s">
        <v>36</v>
      </c>
      <c r="E100" s="19" t="s">
        <v>37</v>
      </c>
      <c r="F100" s="19" t="s">
        <v>31</v>
      </c>
      <c r="G100" s="19" t="s">
        <v>38</v>
      </c>
      <c r="H100" s="21">
        <v>22913.825415142073</v>
      </c>
      <c r="I100" s="22">
        <f>H100*5.6</f>
        <v>128317.4223247956</v>
      </c>
      <c r="J100" s="23">
        <f>SUM(L100:W100)</f>
        <v>17612.730357142857</v>
      </c>
      <c r="K100" s="24">
        <f>J100*5.6</f>
        <v>98631.29</v>
      </c>
      <c r="L100" s="25">
        <v>9460.7107142857149</v>
      </c>
      <c r="M100" s="25">
        <v>5976.033928571429</v>
      </c>
      <c r="N100" s="25">
        <v>1947.6303571428573</v>
      </c>
      <c r="O100" s="25">
        <v>0</v>
      </c>
      <c r="P100" s="25">
        <v>228.35535714285714</v>
      </c>
      <c r="Q100" s="25">
        <v>0</v>
      </c>
      <c r="R100" s="25"/>
      <c r="S100" s="25"/>
      <c r="T100" s="25"/>
      <c r="U100" s="25"/>
      <c r="V100" s="25"/>
      <c r="W100" s="25"/>
      <c r="X100" s="26"/>
    </row>
    <row r="101" spans="1:24" s="27" customFormat="1" ht="13.5" customHeight="1" x14ac:dyDescent="0.35">
      <c r="A101" s="18" t="s">
        <v>289</v>
      </c>
      <c r="B101" s="20" t="s">
        <v>290</v>
      </c>
      <c r="C101" s="19" t="s">
        <v>129</v>
      </c>
      <c r="D101" s="19" t="s">
        <v>101</v>
      </c>
      <c r="E101" s="19" t="s">
        <v>37</v>
      </c>
      <c r="F101" s="19" t="s">
        <v>31</v>
      </c>
      <c r="G101" s="19" t="s">
        <v>38</v>
      </c>
      <c r="H101" s="21">
        <v>17833.741924603171</v>
      </c>
      <c r="I101" s="22">
        <f>H101*5.6</f>
        <v>99868.954777777748</v>
      </c>
      <c r="J101" s="23">
        <f>SUM(L101:W101)</f>
        <v>17612.730357142857</v>
      </c>
      <c r="K101" s="24">
        <f>J101*5.6</f>
        <v>98631.29</v>
      </c>
      <c r="L101" s="25">
        <v>9460.7107142857149</v>
      </c>
      <c r="M101" s="25">
        <v>5976.033928571429</v>
      </c>
      <c r="N101" s="25">
        <v>1947.6303571428573</v>
      </c>
      <c r="O101" s="25">
        <v>0</v>
      </c>
      <c r="P101" s="25">
        <v>228.35535714285714</v>
      </c>
      <c r="Q101" s="25">
        <v>0</v>
      </c>
      <c r="R101" s="25">
        <v>0</v>
      </c>
      <c r="S101" s="25"/>
      <c r="T101" s="25"/>
      <c r="U101" s="25"/>
      <c r="V101" s="25"/>
      <c r="W101" s="25"/>
      <c r="X101" s="26"/>
    </row>
    <row r="102" spans="1:24" s="27" customFormat="1" ht="13.5" customHeight="1" x14ac:dyDescent="0.35">
      <c r="A102" s="18" t="s">
        <v>0</v>
      </c>
      <c r="B102" s="20" t="s">
        <v>248</v>
      </c>
      <c r="C102" s="19" t="s">
        <v>186</v>
      </c>
      <c r="D102" s="19" t="s">
        <v>36</v>
      </c>
      <c r="E102" s="19" t="s">
        <v>37</v>
      </c>
      <c r="F102" s="19" t="s">
        <v>31</v>
      </c>
      <c r="G102" s="19" t="s">
        <v>32</v>
      </c>
      <c r="H102" s="21">
        <v>249018.72857142857</v>
      </c>
      <c r="I102" s="22">
        <f>H102*5.6</f>
        <v>1394504.88</v>
      </c>
      <c r="J102" s="23">
        <f>SUM(L102:W102)</f>
        <v>17407.800000000003</v>
      </c>
      <c r="K102" s="24">
        <f>J102*5.6</f>
        <v>97483.680000000008</v>
      </c>
      <c r="L102" s="25">
        <v>11843.95</v>
      </c>
      <c r="M102" s="25">
        <v>0</v>
      </c>
      <c r="N102" s="25">
        <v>5563.85</v>
      </c>
      <c r="O102" s="25">
        <v>0</v>
      </c>
      <c r="P102" s="25">
        <v>0</v>
      </c>
      <c r="Q102" s="25">
        <v>0</v>
      </c>
      <c r="R102" s="25"/>
      <c r="S102" s="25"/>
      <c r="T102" s="25"/>
      <c r="U102" s="25"/>
      <c r="V102" s="25"/>
      <c r="W102" s="25"/>
      <c r="X102" s="26"/>
    </row>
    <row r="103" spans="1:24" s="27" customFormat="1" ht="13.5" customHeight="1" x14ac:dyDescent="0.35">
      <c r="A103" s="18" t="s">
        <v>251</v>
      </c>
      <c r="B103" s="20" t="s">
        <v>252</v>
      </c>
      <c r="C103" s="19" t="s">
        <v>186</v>
      </c>
      <c r="D103" s="19" t="s">
        <v>36</v>
      </c>
      <c r="E103" s="19" t="s">
        <v>37</v>
      </c>
      <c r="F103" s="19" t="s">
        <v>31</v>
      </c>
      <c r="G103" s="19" t="s">
        <v>32</v>
      </c>
      <c r="H103" s="21">
        <v>0</v>
      </c>
      <c r="I103" s="22">
        <f>H103*5.6</f>
        <v>0</v>
      </c>
      <c r="J103" s="23">
        <f>SUM(L103:W103)</f>
        <v>16560.783928571429</v>
      </c>
      <c r="K103" s="24">
        <f>J103*5.6</f>
        <v>92740.39</v>
      </c>
      <c r="L103" s="25">
        <v>0</v>
      </c>
      <c r="M103" s="25">
        <v>4845.9392857142857</v>
      </c>
      <c r="N103" s="25">
        <v>2545.346428571429</v>
      </c>
      <c r="O103" s="25">
        <v>2037.3517857142858</v>
      </c>
      <c r="P103" s="25">
        <v>2370.2910714285713</v>
      </c>
      <c r="Q103" s="25">
        <v>0</v>
      </c>
      <c r="R103" s="25">
        <v>4761.8553571428574</v>
      </c>
      <c r="S103" s="25"/>
      <c r="T103" s="25"/>
      <c r="U103" s="25"/>
      <c r="V103" s="25"/>
      <c r="W103" s="25"/>
      <c r="X103" s="26"/>
    </row>
    <row r="104" spans="1:24" s="27" customFormat="1" ht="13.5" customHeight="1" x14ac:dyDescent="0.35">
      <c r="A104" s="18" t="s">
        <v>267</v>
      </c>
      <c r="B104" s="20" t="s">
        <v>268</v>
      </c>
      <c r="C104" s="19" t="s">
        <v>129</v>
      </c>
      <c r="D104" s="19" t="s">
        <v>101</v>
      </c>
      <c r="E104" s="19" t="s">
        <v>37</v>
      </c>
      <c r="F104" s="19" t="s">
        <v>31</v>
      </c>
      <c r="G104" s="19" t="s">
        <v>32</v>
      </c>
      <c r="H104" s="21">
        <v>39393.633850446437</v>
      </c>
      <c r="I104" s="22">
        <f>H104*5.6</f>
        <v>220604.34956250002</v>
      </c>
      <c r="J104" s="23">
        <f>SUM(L104:W104)</f>
        <v>16291.205357142859</v>
      </c>
      <c r="K104" s="24">
        <f>J104*5.6</f>
        <v>91230.75</v>
      </c>
      <c r="L104" s="25">
        <v>0</v>
      </c>
      <c r="M104" s="25">
        <v>0</v>
      </c>
      <c r="N104" s="25">
        <v>0</v>
      </c>
      <c r="O104" s="25">
        <v>0</v>
      </c>
      <c r="P104" s="25">
        <v>0</v>
      </c>
      <c r="Q104" s="25">
        <v>10323.041071428572</v>
      </c>
      <c r="R104" s="25">
        <v>5968.1642857142861</v>
      </c>
      <c r="S104" s="25"/>
      <c r="T104" s="25"/>
      <c r="U104" s="25"/>
      <c r="V104" s="25"/>
      <c r="W104" s="25"/>
      <c r="X104" s="26"/>
    </row>
    <row r="105" spans="1:24" s="27" customFormat="1" ht="13.5" customHeight="1" x14ac:dyDescent="0.35">
      <c r="A105" s="18" t="s">
        <v>249</v>
      </c>
      <c r="B105" s="20" t="s">
        <v>250</v>
      </c>
      <c r="C105" s="19" t="s">
        <v>35</v>
      </c>
      <c r="D105" s="19" t="s">
        <v>36</v>
      </c>
      <c r="E105" s="19" t="s">
        <v>37</v>
      </c>
      <c r="F105" s="19" t="s">
        <v>31</v>
      </c>
      <c r="G105" s="19" t="s">
        <v>32</v>
      </c>
      <c r="H105" s="21">
        <v>0</v>
      </c>
      <c r="I105" s="22">
        <f>H105*5.6</f>
        <v>0</v>
      </c>
      <c r="J105" s="23">
        <f>SUM(L105:W105)</f>
        <v>14412.533928571429</v>
      </c>
      <c r="K105" s="24">
        <f>J105*5.6</f>
        <v>80710.19</v>
      </c>
      <c r="L105" s="25">
        <v>0</v>
      </c>
      <c r="M105" s="25">
        <v>0</v>
      </c>
      <c r="N105" s="25">
        <v>3312.9053571428576</v>
      </c>
      <c r="O105" s="25">
        <v>0</v>
      </c>
      <c r="P105" s="25">
        <v>5547.6910714285714</v>
      </c>
      <c r="Q105" s="25">
        <v>0</v>
      </c>
      <c r="R105" s="25">
        <v>5551.9375</v>
      </c>
      <c r="S105" s="25"/>
      <c r="T105" s="25"/>
      <c r="U105" s="25"/>
      <c r="V105" s="25"/>
      <c r="W105" s="25"/>
      <c r="X105" s="26"/>
    </row>
    <row r="106" spans="1:24" s="27" customFormat="1" ht="13.5" customHeight="1" x14ac:dyDescent="0.35">
      <c r="A106" s="18" t="s">
        <v>253</v>
      </c>
      <c r="B106" s="20" t="s">
        <v>254</v>
      </c>
      <c r="C106" s="19" t="s">
        <v>129</v>
      </c>
      <c r="D106" s="19" t="s">
        <v>101</v>
      </c>
      <c r="E106" s="19" t="s">
        <v>37</v>
      </c>
      <c r="F106" s="19" t="s">
        <v>31</v>
      </c>
      <c r="G106" s="19" t="s">
        <v>32</v>
      </c>
      <c r="H106" s="21">
        <v>44158.482142857145</v>
      </c>
      <c r="I106" s="22">
        <f>H106*5.6</f>
        <v>247287.5</v>
      </c>
      <c r="J106" s="23">
        <f>SUM(L106:W106)</f>
        <v>13699.153571428573</v>
      </c>
      <c r="K106" s="24">
        <f>J106*5.6</f>
        <v>76715.260000000009</v>
      </c>
      <c r="L106" s="25">
        <v>0</v>
      </c>
      <c r="M106" s="25">
        <v>0</v>
      </c>
      <c r="N106" s="25">
        <v>0</v>
      </c>
      <c r="O106" s="25">
        <v>0</v>
      </c>
      <c r="P106" s="25">
        <v>4678.4321428571429</v>
      </c>
      <c r="Q106" s="25">
        <v>4766.8571428571431</v>
      </c>
      <c r="R106" s="25">
        <v>4253.8642857142859</v>
      </c>
      <c r="S106" s="25"/>
      <c r="T106" s="25"/>
      <c r="U106" s="25"/>
      <c r="V106" s="25"/>
      <c r="W106" s="25"/>
      <c r="X106" s="26"/>
    </row>
    <row r="107" spans="1:24" s="27" customFormat="1" ht="13.5" customHeight="1" x14ac:dyDescent="0.35">
      <c r="A107" s="18" t="s">
        <v>285</v>
      </c>
      <c r="B107" s="20" t="s">
        <v>286</v>
      </c>
      <c r="C107" s="19" t="s">
        <v>186</v>
      </c>
      <c r="D107" s="19" t="s">
        <v>36</v>
      </c>
      <c r="E107" s="19" t="s">
        <v>37</v>
      </c>
      <c r="F107" s="19" t="s">
        <v>31</v>
      </c>
      <c r="G107" s="19" t="s">
        <v>32</v>
      </c>
      <c r="H107" s="21">
        <v>0</v>
      </c>
      <c r="I107" s="22">
        <f>H107*5.6</f>
        <v>0</v>
      </c>
      <c r="J107" s="23">
        <f>SUM(L107:W107)</f>
        <v>13247.470282916236</v>
      </c>
      <c r="K107" s="24">
        <f>J107*5.6</f>
        <v>74185.833584330918</v>
      </c>
      <c r="L107" s="25">
        <v>13247.470282916236</v>
      </c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6"/>
    </row>
    <row r="108" spans="1:24" s="27" customFormat="1" ht="13.5" customHeight="1" x14ac:dyDescent="0.35">
      <c r="A108" s="18" t="s">
        <v>81</v>
      </c>
      <c r="B108" s="20" t="s">
        <v>82</v>
      </c>
      <c r="C108" s="19" t="s">
        <v>35</v>
      </c>
      <c r="D108" s="19" t="s">
        <v>36</v>
      </c>
      <c r="E108" s="19" t="s">
        <v>37</v>
      </c>
      <c r="F108" s="19" t="s">
        <v>31</v>
      </c>
      <c r="G108" s="19" t="s">
        <v>32</v>
      </c>
      <c r="H108" s="21">
        <v>8242</v>
      </c>
      <c r="I108" s="22">
        <f>H108*5.6</f>
        <v>46155.199999999997</v>
      </c>
      <c r="J108" s="23">
        <f>SUM(L108:W108)</f>
        <v>12339.876785714287</v>
      </c>
      <c r="K108" s="24">
        <f>J108*5.6</f>
        <v>69103.31</v>
      </c>
      <c r="L108" s="25">
        <v>1114.4160714285715</v>
      </c>
      <c r="M108" s="25">
        <v>7912.5553571428572</v>
      </c>
      <c r="N108" s="25">
        <v>3312.9053571428576</v>
      </c>
      <c r="O108" s="25">
        <v>0</v>
      </c>
      <c r="P108" s="25">
        <v>0</v>
      </c>
      <c r="Q108" s="25">
        <v>0</v>
      </c>
      <c r="R108" s="25">
        <v>0</v>
      </c>
      <c r="S108" s="25"/>
      <c r="T108" s="25"/>
      <c r="U108" s="25"/>
      <c r="V108" s="25"/>
      <c r="W108" s="25"/>
      <c r="X108" s="26"/>
    </row>
    <row r="109" spans="1:24" s="27" customFormat="1" ht="13.5" customHeight="1" x14ac:dyDescent="0.35">
      <c r="A109" s="18" t="s">
        <v>258</v>
      </c>
      <c r="B109" s="20" t="s">
        <v>259</v>
      </c>
      <c r="C109" s="19" t="s">
        <v>260</v>
      </c>
      <c r="D109" s="19" t="s">
        <v>101</v>
      </c>
      <c r="E109" s="19" t="s">
        <v>37</v>
      </c>
      <c r="F109" s="19" t="s">
        <v>31</v>
      </c>
      <c r="G109" s="19" t="s">
        <v>32</v>
      </c>
      <c r="H109" s="21">
        <v>23291.146125000003</v>
      </c>
      <c r="I109" s="22">
        <f>H109*5.6</f>
        <v>130430.4183</v>
      </c>
      <c r="J109" s="23">
        <f>SUM(L109:W109)</f>
        <v>11454.667857142857</v>
      </c>
      <c r="K109" s="24">
        <f>J109*5.6</f>
        <v>64146.139999999992</v>
      </c>
      <c r="L109" s="25">
        <v>4971.6875</v>
      </c>
      <c r="M109" s="25">
        <v>1977.5160714285716</v>
      </c>
      <c r="N109" s="25">
        <v>0</v>
      </c>
      <c r="O109" s="25">
        <v>0</v>
      </c>
      <c r="P109" s="25">
        <v>0</v>
      </c>
      <c r="Q109" s="25">
        <v>0</v>
      </c>
      <c r="R109" s="25">
        <v>4505.4642857142853</v>
      </c>
      <c r="S109" s="25"/>
      <c r="T109" s="25"/>
      <c r="U109" s="25"/>
      <c r="V109" s="25"/>
      <c r="W109" s="25"/>
      <c r="X109" s="26"/>
    </row>
    <row r="110" spans="1:24" s="27" customFormat="1" ht="13.5" customHeight="1" x14ac:dyDescent="0.35">
      <c r="A110" s="18" t="s">
        <v>465</v>
      </c>
      <c r="B110" s="20" t="s">
        <v>466</v>
      </c>
      <c r="C110" s="19" t="s">
        <v>35</v>
      </c>
      <c r="D110" s="19" t="s">
        <v>36</v>
      </c>
      <c r="E110" s="19" t="s">
        <v>37</v>
      </c>
      <c r="F110" s="19" t="s">
        <v>31</v>
      </c>
      <c r="G110" s="19" t="s">
        <v>32</v>
      </c>
      <c r="H110" s="21">
        <v>16062.71712735714</v>
      </c>
      <c r="I110" s="22">
        <f>H110*5.6</f>
        <v>89951.21591319998</v>
      </c>
      <c r="J110" s="23">
        <f>SUM(L110:W110)</f>
        <v>10838.383167857142</v>
      </c>
      <c r="K110" s="24">
        <f>J110*5.6</f>
        <v>60694.945739999996</v>
      </c>
      <c r="L110" s="25"/>
      <c r="M110" s="25"/>
      <c r="N110" s="25"/>
      <c r="O110" s="25"/>
      <c r="P110" s="25"/>
      <c r="Q110" s="25"/>
      <c r="R110" s="25">
        <v>10838.383167857142</v>
      </c>
      <c r="S110" s="25"/>
      <c r="T110" s="25"/>
      <c r="U110" s="25"/>
      <c r="V110" s="25"/>
      <c r="W110" s="25"/>
      <c r="X110" s="26"/>
    </row>
    <row r="111" spans="1:24" s="27" customFormat="1" ht="13.5" customHeight="1" x14ac:dyDescent="0.35">
      <c r="A111" s="18" t="s">
        <v>98</v>
      </c>
      <c r="B111" s="20" t="s">
        <v>99</v>
      </c>
      <c r="C111" s="19" t="s">
        <v>100</v>
      </c>
      <c r="D111" s="19" t="s">
        <v>101</v>
      </c>
      <c r="E111" s="19" t="s">
        <v>37</v>
      </c>
      <c r="F111" s="19" t="s">
        <v>31</v>
      </c>
      <c r="G111" s="19" t="s">
        <v>32</v>
      </c>
      <c r="H111" s="21">
        <v>52894.285714285717</v>
      </c>
      <c r="I111" s="22">
        <f>H111*5.6</f>
        <v>296208</v>
      </c>
      <c r="J111" s="23">
        <f>SUM(L111:W111)</f>
        <v>8913.4196428571449</v>
      </c>
      <c r="K111" s="24">
        <f>J111*5.6</f>
        <v>49915.150000000009</v>
      </c>
      <c r="L111" s="25">
        <v>0</v>
      </c>
      <c r="M111" s="25">
        <v>0</v>
      </c>
      <c r="N111" s="25">
        <v>0</v>
      </c>
      <c r="O111" s="25">
        <v>0</v>
      </c>
      <c r="P111" s="25">
        <v>3503.1410714285716</v>
      </c>
      <c r="Q111" s="25">
        <v>2733.7428571428572</v>
      </c>
      <c r="R111" s="25">
        <v>2676.5357142857147</v>
      </c>
      <c r="S111" s="25"/>
      <c r="T111" s="25"/>
      <c r="U111" s="25"/>
      <c r="V111" s="25"/>
      <c r="W111" s="25"/>
      <c r="X111" s="26"/>
    </row>
    <row r="112" spans="1:24" s="27" customFormat="1" ht="13.5" customHeight="1" x14ac:dyDescent="0.35">
      <c r="A112" s="18" t="s">
        <v>269</v>
      </c>
      <c r="B112" s="20" t="s">
        <v>270</v>
      </c>
      <c r="C112" s="19" t="s">
        <v>35</v>
      </c>
      <c r="D112" s="19" t="s">
        <v>36</v>
      </c>
      <c r="E112" s="19" t="s">
        <v>37</v>
      </c>
      <c r="F112" s="19" t="s">
        <v>31</v>
      </c>
      <c r="G112" s="19" t="s">
        <v>32</v>
      </c>
      <c r="H112" s="21">
        <v>0</v>
      </c>
      <c r="I112" s="22">
        <f>H112*5.6</f>
        <v>0</v>
      </c>
      <c r="J112" s="23">
        <f>SUM(L112:W112)</f>
        <v>8611.8227101572884</v>
      </c>
      <c r="K112" s="24">
        <f>J112*5.6</f>
        <v>48226.207176880809</v>
      </c>
      <c r="L112" s="25">
        <v>8611.8227101572884</v>
      </c>
      <c r="M112" s="25">
        <v>0</v>
      </c>
      <c r="N112" s="25">
        <v>0</v>
      </c>
      <c r="O112" s="25">
        <v>0</v>
      </c>
      <c r="P112" s="25">
        <v>0</v>
      </c>
      <c r="Q112" s="25">
        <v>0</v>
      </c>
      <c r="R112" s="25"/>
      <c r="S112" s="25"/>
      <c r="T112" s="25"/>
      <c r="U112" s="25"/>
      <c r="V112" s="25"/>
      <c r="W112" s="25"/>
      <c r="X112" s="26"/>
    </row>
    <row r="113" spans="1:24" s="27" customFormat="1" ht="13.5" customHeight="1" x14ac:dyDescent="0.35">
      <c r="A113" s="18" t="s">
        <v>85</v>
      </c>
      <c r="B113" s="20" t="s">
        <v>86</v>
      </c>
      <c r="C113" s="19" t="s">
        <v>42</v>
      </c>
      <c r="D113" s="19" t="s">
        <v>29</v>
      </c>
      <c r="E113" s="19" t="s">
        <v>30</v>
      </c>
      <c r="F113" s="19" t="s">
        <v>31</v>
      </c>
      <c r="G113" s="19" t="s">
        <v>32</v>
      </c>
      <c r="H113" s="21">
        <v>52334.233928571433</v>
      </c>
      <c r="I113" s="22">
        <f>H113*5.6</f>
        <v>293071.71000000002</v>
      </c>
      <c r="J113" s="23">
        <f>SUM(L113:W113)</f>
        <v>7439.5224639999997</v>
      </c>
      <c r="K113" s="24">
        <f>J113*5.6</f>
        <v>41661.325798399994</v>
      </c>
      <c r="L113" s="25">
        <v>2523.4322559999996</v>
      </c>
      <c r="M113" s="25">
        <v>38.937055999999991</v>
      </c>
      <c r="N113" s="25">
        <v>1397.6348639999999</v>
      </c>
      <c r="O113" s="25">
        <v>1895.5656479999998</v>
      </c>
      <c r="P113" s="25">
        <v>1573.490816</v>
      </c>
      <c r="Q113" s="25">
        <v>10.461823999999998</v>
      </c>
      <c r="R113" s="25"/>
      <c r="S113" s="25"/>
      <c r="T113" s="25"/>
      <c r="U113" s="25"/>
      <c r="V113" s="25"/>
      <c r="W113" s="25"/>
      <c r="X113" s="26"/>
    </row>
    <row r="114" spans="1:24" s="27" customFormat="1" ht="13.5" customHeight="1" x14ac:dyDescent="0.35">
      <c r="A114" s="18" t="s">
        <v>263</v>
      </c>
      <c r="B114" s="20" t="s">
        <v>264</v>
      </c>
      <c r="C114" s="19" t="s">
        <v>159</v>
      </c>
      <c r="D114" s="19" t="s">
        <v>50</v>
      </c>
      <c r="E114" s="19" t="s">
        <v>30</v>
      </c>
      <c r="F114" s="19" t="s">
        <v>31</v>
      </c>
      <c r="G114" s="19" t="s">
        <v>32</v>
      </c>
      <c r="H114" s="21">
        <v>0</v>
      </c>
      <c r="I114" s="22">
        <f>H114*5.6</f>
        <v>0</v>
      </c>
      <c r="J114" s="23">
        <f>SUM(L114:W114)</f>
        <v>3728.9749999999999</v>
      </c>
      <c r="K114" s="24">
        <f>J114*5.6</f>
        <v>20882.259999999998</v>
      </c>
      <c r="L114" s="25">
        <v>0</v>
      </c>
      <c r="M114" s="25">
        <v>0</v>
      </c>
      <c r="N114" s="25">
        <v>0</v>
      </c>
      <c r="O114" s="25">
        <v>0</v>
      </c>
      <c r="P114" s="25">
        <v>606.63750000000005</v>
      </c>
      <c r="Q114" s="25">
        <v>54.589285714285715</v>
      </c>
      <c r="R114" s="25">
        <v>3067.7482142857143</v>
      </c>
      <c r="S114" s="25"/>
      <c r="T114" s="25"/>
      <c r="U114" s="25"/>
      <c r="V114" s="25"/>
      <c r="W114" s="25"/>
      <c r="X114" s="26"/>
    </row>
    <row r="115" spans="1:24" s="27" customFormat="1" ht="13.5" customHeight="1" x14ac:dyDescent="0.35">
      <c r="A115" s="18" t="s">
        <v>291</v>
      </c>
      <c r="B115" s="20" t="s">
        <v>292</v>
      </c>
      <c r="C115" s="19" t="s">
        <v>293</v>
      </c>
      <c r="D115" s="19" t="s">
        <v>36</v>
      </c>
      <c r="E115" s="19" t="s">
        <v>37</v>
      </c>
      <c r="F115" s="19" t="s">
        <v>31</v>
      </c>
      <c r="G115" s="19" t="s">
        <v>38</v>
      </c>
      <c r="H115" s="21">
        <v>0</v>
      </c>
      <c r="I115" s="22">
        <f>H115*5.6</f>
        <v>0</v>
      </c>
      <c r="J115" s="23">
        <f>SUM(L115:W115)</f>
        <v>2087.3571428571431</v>
      </c>
      <c r="K115" s="24">
        <f>J115*5.6</f>
        <v>11689.2</v>
      </c>
      <c r="L115" s="25">
        <v>0</v>
      </c>
      <c r="M115" s="25">
        <v>0</v>
      </c>
      <c r="N115" s="25">
        <v>0</v>
      </c>
      <c r="O115" s="25">
        <v>2087.3571428571431</v>
      </c>
      <c r="P115" s="25">
        <v>0</v>
      </c>
      <c r="Q115" s="25">
        <v>0</v>
      </c>
      <c r="R115" s="25"/>
      <c r="S115" s="25"/>
      <c r="T115" s="25"/>
      <c r="U115" s="25"/>
      <c r="V115" s="25"/>
      <c r="W115" s="25"/>
      <c r="X115" s="26"/>
    </row>
    <row r="116" spans="1:24" s="27" customFormat="1" ht="13.5" customHeight="1" x14ac:dyDescent="0.35">
      <c r="A116" s="18" t="s">
        <v>296</v>
      </c>
      <c r="B116" s="20" t="s">
        <v>297</v>
      </c>
      <c r="C116" s="19" t="s">
        <v>293</v>
      </c>
      <c r="D116" s="19" t="s">
        <v>36</v>
      </c>
      <c r="E116" s="19" t="s">
        <v>37</v>
      </c>
      <c r="F116" s="19" t="s">
        <v>31</v>
      </c>
      <c r="G116" s="19" t="s">
        <v>38</v>
      </c>
      <c r="H116" s="21">
        <v>0</v>
      </c>
      <c r="I116" s="22">
        <f>H116*5.6</f>
        <v>0</v>
      </c>
      <c r="J116" s="23">
        <f>SUM(L116:W116)</f>
        <v>1753.2589285714287</v>
      </c>
      <c r="K116" s="24">
        <f>J116*5.6</f>
        <v>9818.25</v>
      </c>
      <c r="L116" s="25">
        <v>0</v>
      </c>
      <c r="M116" s="25">
        <v>394.41964285714289</v>
      </c>
      <c r="N116" s="25">
        <v>356.25</v>
      </c>
      <c r="O116" s="25">
        <v>386.78571428571433</v>
      </c>
      <c r="P116" s="25">
        <v>137.41071428571431</v>
      </c>
      <c r="Q116" s="25">
        <v>0</v>
      </c>
      <c r="R116" s="25">
        <v>478.39285714285717</v>
      </c>
      <c r="S116" s="25"/>
      <c r="T116" s="25"/>
      <c r="U116" s="25"/>
      <c r="V116" s="25"/>
      <c r="W116" s="25"/>
      <c r="X116" s="26"/>
    </row>
    <row r="117" spans="1:24" s="27" customFormat="1" ht="13.5" customHeight="1" x14ac:dyDescent="0.35">
      <c r="A117" s="18" t="s">
        <v>478</v>
      </c>
      <c r="B117" s="20" t="s">
        <v>479</v>
      </c>
      <c r="C117" s="19" t="s">
        <v>35</v>
      </c>
      <c r="D117" s="19" t="s">
        <v>36</v>
      </c>
      <c r="E117" s="19" t="s">
        <v>37</v>
      </c>
      <c r="F117" s="19" t="s">
        <v>31</v>
      </c>
      <c r="G117" s="19" t="s">
        <v>38</v>
      </c>
      <c r="H117" s="21">
        <v>2743.7497789115605</v>
      </c>
      <c r="I117" s="22">
        <f>H117*5.6</f>
        <v>15364.998761904737</v>
      </c>
      <c r="J117" s="23">
        <f>SUM(L117:W117)</f>
        <v>1722.3645420314579</v>
      </c>
      <c r="K117" s="24">
        <f>J117*5.6</f>
        <v>9645.2414353761633</v>
      </c>
      <c r="L117" s="25">
        <v>1722.3645420314579</v>
      </c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6"/>
    </row>
    <row r="118" spans="1:24" s="27" customFormat="1" ht="13.5" customHeight="1" x14ac:dyDescent="0.35">
      <c r="A118" s="18" t="s">
        <v>106</v>
      </c>
      <c r="B118" s="20" t="s">
        <v>107</v>
      </c>
      <c r="C118" s="19" t="s">
        <v>59</v>
      </c>
      <c r="D118" s="19" t="s">
        <v>60</v>
      </c>
      <c r="E118" s="19" t="s">
        <v>30</v>
      </c>
      <c r="F118" s="19" t="s">
        <v>31</v>
      </c>
      <c r="G118" s="19" t="s">
        <v>32</v>
      </c>
      <c r="H118" s="21">
        <v>0</v>
      </c>
      <c r="I118" s="22">
        <v>0</v>
      </c>
      <c r="J118" s="23">
        <f>SUM(L118:W118)</f>
        <v>1528.2446428571429</v>
      </c>
      <c r="K118" s="24">
        <f>J118*5.6</f>
        <v>8558.17</v>
      </c>
      <c r="L118" s="25">
        <v>0</v>
      </c>
      <c r="M118" s="25">
        <v>0</v>
      </c>
      <c r="N118" s="25">
        <v>0</v>
      </c>
      <c r="O118" s="25">
        <v>0</v>
      </c>
      <c r="P118" s="25">
        <v>0</v>
      </c>
      <c r="Q118" s="25">
        <v>677.89464285714291</v>
      </c>
      <c r="R118" s="25">
        <v>850.35</v>
      </c>
      <c r="S118" s="25"/>
      <c r="T118" s="25"/>
      <c r="U118" s="25"/>
      <c r="V118" s="25"/>
      <c r="W118" s="25"/>
      <c r="X118" s="26"/>
    </row>
    <row r="119" spans="1:24" s="27" customFormat="1" ht="13.5" customHeight="1" x14ac:dyDescent="0.35">
      <c r="A119" s="18" t="s">
        <v>294</v>
      </c>
      <c r="B119" s="20" t="s">
        <v>295</v>
      </c>
      <c r="C119" s="19" t="s">
        <v>129</v>
      </c>
      <c r="D119" s="19" t="s">
        <v>101</v>
      </c>
      <c r="E119" s="19" t="s">
        <v>37</v>
      </c>
      <c r="F119" s="19" t="s">
        <v>31</v>
      </c>
      <c r="G119" s="19" t="s">
        <v>32</v>
      </c>
      <c r="H119" s="21"/>
      <c r="I119" s="22"/>
      <c r="J119" s="23">
        <f>SUM(L119:W119)</f>
        <v>728.90178571428578</v>
      </c>
      <c r="K119" s="24">
        <f>J119*5.6</f>
        <v>4081.85</v>
      </c>
      <c r="L119" s="25">
        <v>0</v>
      </c>
      <c r="M119" s="25">
        <v>304.87142857142857</v>
      </c>
      <c r="N119" s="25">
        <v>424.03035714285721</v>
      </c>
      <c r="O119" s="25">
        <v>0</v>
      </c>
      <c r="P119" s="25">
        <v>0</v>
      </c>
      <c r="Q119" s="25"/>
      <c r="R119" s="25"/>
      <c r="S119" s="25"/>
      <c r="T119" s="25"/>
      <c r="U119" s="25"/>
      <c r="V119" s="25"/>
      <c r="W119" s="25"/>
      <c r="X119" s="26"/>
    </row>
    <row r="120" spans="1:24" s="27" customFormat="1" ht="13.5" customHeight="1" x14ac:dyDescent="0.35">
      <c r="A120" s="18" t="s">
        <v>127</v>
      </c>
      <c r="B120" s="20" t="s">
        <v>128</v>
      </c>
      <c r="C120" s="19" t="s">
        <v>129</v>
      </c>
      <c r="D120" s="19" t="s">
        <v>101</v>
      </c>
      <c r="E120" s="19" t="s">
        <v>37</v>
      </c>
      <c r="F120" s="19" t="s">
        <v>31</v>
      </c>
      <c r="G120" s="19" t="s">
        <v>32</v>
      </c>
      <c r="H120" s="21">
        <v>10858.192861607144</v>
      </c>
      <c r="I120" s="22">
        <f>H120*5.6</f>
        <v>60805.880024999999</v>
      </c>
      <c r="J120" s="23">
        <f>SUM(L120:W120)</f>
        <v>728.89999999999975</v>
      </c>
      <c r="K120" s="24">
        <f>J120*5.6</f>
        <v>4081.8399999999983</v>
      </c>
      <c r="L120" s="25">
        <v>0</v>
      </c>
      <c r="M120" s="25">
        <v>187.10000000000002</v>
      </c>
      <c r="N120" s="25">
        <v>260.22678571428571</v>
      </c>
      <c r="O120" s="25">
        <v>0</v>
      </c>
      <c r="P120" s="25">
        <v>0</v>
      </c>
      <c r="Q120" s="25">
        <v>0</v>
      </c>
      <c r="R120" s="25">
        <v>281.57321428571402</v>
      </c>
      <c r="S120" s="25"/>
      <c r="T120" s="25"/>
      <c r="U120" s="25"/>
      <c r="V120" s="25"/>
      <c r="W120" s="25"/>
      <c r="X120" s="26"/>
    </row>
    <row r="121" spans="1:24" s="27" customFormat="1" ht="13.5" customHeight="1" x14ac:dyDescent="0.35">
      <c r="A121" s="18" t="s">
        <v>294</v>
      </c>
      <c r="B121" s="20" t="s">
        <v>295</v>
      </c>
      <c r="C121" s="19" t="s">
        <v>129</v>
      </c>
      <c r="D121" s="19" t="s">
        <v>101</v>
      </c>
      <c r="E121" s="19" t="s">
        <v>37</v>
      </c>
      <c r="F121" s="19" t="s">
        <v>31</v>
      </c>
      <c r="G121" s="19" t="s">
        <v>38</v>
      </c>
      <c r="H121" s="21">
        <v>16062.999999999998</v>
      </c>
      <c r="I121" s="22">
        <f>H121*5.6</f>
        <v>89952.799999999988</v>
      </c>
      <c r="J121" s="23">
        <f>SUM(L121:W121)</f>
        <v>281.57500000000005</v>
      </c>
      <c r="K121" s="24">
        <f>J121*5.6</f>
        <v>1576.8200000000002</v>
      </c>
      <c r="L121" s="25">
        <v>0</v>
      </c>
      <c r="M121" s="25">
        <v>117.77142857142857</v>
      </c>
      <c r="N121" s="25">
        <v>163.80357142857144</v>
      </c>
      <c r="O121" s="25">
        <v>0</v>
      </c>
      <c r="P121" s="25">
        <v>0</v>
      </c>
      <c r="Q121" s="25">
        <v>0</v>
      </c>
      <c r="R121" s="25"/>
      <c r="S121" s="25"/>
      <c r="T121" s="25"/>
      <c r="U121" s="25"/>
      <c r="V121" s="25"/>
      <c r="W121" s="25"/>
      <c r="X121" s="26"/>
    </row>
    <row r="122" spans="1:24" s="27" customFormat="1" ht="13.5" customHeight="1" x14ac:dyDescent="0.35">
      <c r="A122" s="18" t="s">
        <v>108</v>
      </c>
      <c r="B122" s="20" t="s">
        <v>109</v>
      </c>
      <c r="C122" s="19" t="s">
        <v>110</v>
      </c>
      <c r="D122" s="19" t="s">
        <v>36</v>
      </c>
      <c r="E122" s="19" t="s">
        <v>37</v>
      </c>
      <c r="F122" s="19" t="s">
        <v>31</v>
      </c>
      <c r="G122" s="19" t="s">
        <v>32</v>
      </c>
      <c r="H122" s="21">
        <v>0</v>
      </c>
      <c r="I122" s="22">
        <v>0</v>
      </c>
      <c r="J122" s="23">
        <f>SUM(L122:W122)</f>
        <v>276.19464285714287</v>
      </c>
      <c r="K122" s="24">
        <f>J122*5.6</f>
        <v>1546.69</v>
      </c>
      <c r="L122" s="25">
        <v>42.125000000000007</v>
      </c>
      <c r="M122" s="25">
        <v>0</v>
      </c>
      <c r="N122" s="25">
        <v>11.66607142857143</v>
      </c>
      <c r="O122" s="25">
        <v>5.8375000000000004</v>
      </c>
      <c r="P122" s="25">
        <v>5.9214285714285708</v>
      </c>
      <c r="Q122" s="25">
        <v>0</v>
      </c>
      <c r="R122" s="25">
        <v>210.64464285714286</v>
      </c>
      <c r="S122" s="25"/>
      <c r="T122" s="25"/>
      <c r="U122" s="25"/>
      <c r="V122" s="25"/>
      <c r="W122" s="25"/>
      <c r="X122" s="26"/>
    </row>
    <row r="123" spans="1:24" s="27" customFormat="1" ht="13.5" customHeight="1" x14ac:dyDescent="0.35">
      <c r="A123" s="18" t="s">
        <v>298</v>
      </c>
      <c r="B123" s="20" t="s">
        <v>299</v>
      </c>
      <c r="C123" s="19" t="s">
        <v>300</v>
      </c>
      <c r="D123" s="19" t="s">
        <v>101</v>
      </c>
      <c r="E123" s="19" t="s">
        <v>37</v>
      </c>
      <c r="F123" s="19" t="s">
        <v>31</v>
      </c>
      <c r="G123" s="19" t="s">
        <v>38</v>
      </c>
      <c r="H123" s="21">
        <v>307816.97757380956</v>
      </c>
      <c r="I123" s="22">
        <f>H123*5.6</f>
        <v>1723775.0744133336</v>
      </c>
      <c r="J123" s="23">
        <f>SUM(L123:W123)</f>
        <v>221.38392857142858</v>
      </c>
      <c r="K123" s="24">
        <f>J123*5.6</f>
        <v>1239.75</v>
      </c>
      <c r="L123" s="25">
        <v>0</v>
      </c>
      <c r="M123" s="25">
        <v>0</v>
      </c>
      <c r="N123" s="25">
        <v>0</v>
      </c>
      <c r="O123" s="25">
        <v>116.51785714285715</v>
      </c>
      <c r="P123" s="25">
        <v>0</v>
      </c>
      <c r="Q123" s="25">
        <v>104.86607142857143</v>
      </c>
      <c r="R123" s="25"/>
      <c r="S123" s="25"/>
      <c r="T123" s="25"/>
      <c r="U123" s="25"/>
      <c r="V123" s="25"/>
      <c r="W123" s="25"/>
      <c r="X123" s="26"/>
    </row>
    <row r="124" spans="1:24" s="27" customFormat="1" ht="13.5" customHeight="1" x14ac:dyDescent="0.35">
      <c r="A124" s="18" t="s">
        <v>329</v>
      </c>
      <c r="B124" s="20" t="s">
        <v>330</v>
      </c>
      <c r="C124" s="19" t="s">
        <v>293</v>
      </c>
      <c r="D124" s="19" t="s">
        <v>36</v>
      </c>
      <c r="E124" s="19" t="s">
        <v>37</v>
      </c>
      <c r="F124" s="19" t="s">
        <v>31</v>
      </c>
      <c r="G124" s="19" t="s">
        <v>38</v>
      </c>
      <c r="H124" s="21">
        <v>0</v>
      </c>
      <c r="I124" s="22">
        <f>H124*5.6</f>
        <v>0</v>
      </c>
      <c r="J124" s="23">
        <f>SUM(L124:W124)</f>
        <v>204.49107142857144</v>
      </c>
      <c r="K124" s="24">
        <f>J124*5.6</f>
        <v>1145.1500000000001</v>
      </c>
      <c r="L124" s="25">
        <v>0</v>
      </c>
      <c r="M124" s="25">
        <v>0</v>
      </c>
      <c r="N124" s="25">
        <v>0</v>
      </c>
      <c r="O124" s="25">
        <v>51.448214285714293</v>
      </c>
      <c r="P124" s="25">
        <v>0</v>
      </c>
      <c r="Q124" s="25">
        <v>103.54821428571429</v>
      </c>
      <c r="R124" s="25">
        <v>49.494642857142864</v>
      </c>
      <c r="S124" s="25"/>
      <c r="T124" s="25"/>
      <c r="U124" s="25"/>
      <c r="V124" s="25"/>
      <c r="W124" s="25"/>
      <c r="X124" s="26"/>
    </row>
    <row r="125" spans="1:24" s="27" customFormat="1" ht="13.5" customHeight="1" x14ac:dyDescent="0.35">
      <c r="A125" s="18" t="s">
        <v>336</v>
      </c>
      <c r="B125" s="20" t="s">
        <v>337</v>
      </c>
      <c r="C125" s="19" t="s">
        <v>59</v>
      </c>
      <c r="D125" s="19" t="s">
        <v>60</v>
      </c>
      <c r="E125" s="19" t="s">
        <v>30</v>
      </c>
      <c r="F125" s="19" t="s">
        <v>31</v>
      </c>
      <c r="G125" s="19" t="s">
        <v>38</v>
      </c>
      <c r="H125" s="21">
        <v>0</v>
      </c>
      <c r="I125" s="22">
        <f>H125*5.6</f>
        <v>0</v>
      </c>
      <c r="J125" s="23">
        <f>SUM(L125:W125)</f>
        <v>27.953571428571429</v>
      </c>
      <c r="K125" s="24">
        <f>J125*5.6</f>
        <v>156.54</v>
      </c>
      <c r="L125" s="25">
        <v>14.823214285714288</v>
      </c>
      <c r="M125" s="25">
        <v>0.22857142857142859</v>
      </c>
      <c r="N125" s="25">
        <v>1.5249999999999999</v>
      </c>
      <c r="O125" s="25">
        <v>11.376785714285715</v>
      </c>
      <c r="P125" s="25">
        <v>0</v>
      </c>
      <c r="Q125" s="25">
        <v>0</v>
      </c>
      <c r="R125" s="25"/>
      <c r="S125" s="25"/>
      <c r="T125" s="25"/>
      <c r="U125" s="25"/>
      <c r="V125" s="25"/>
      <c r="W125" s="25"/>
      <c r="X125" s="26"/>
    </row>
    <row r="126" spans="1:24" s="27" customFormat="1" ht="13.5" customHeight="1" x14ac:dyDescent="0.35">
      <c r="A126" s="18" t="s">
        <v>69</v>
      </c>
      <c r="B126" s="20" t="s">
        <v>70</v>
      </c>
      <c r="C126" s="19" t="s">
        <v>42</v>
      </c>
      <c r="D126" s="19" t="s">
        <v>29</v>
      </c>
      <c r="E126" s="19" t="s">
        <v>30</v>
      </c>
      <c r="F126" s="19" t="s">
        <v>31</v>
      </c>
      <c r="G126" s="19" t="s">
        <v>32</v>
      </c>
      <c r="H126" s="21">
        <v>128571.42857142858</v>
      </c>
      <c r="I126" s="22">
        <f>H126*5.6</f>
        <v>720000</v>
      </c>
      <c r="J126" s="23">
        <f>SUM(L126:W126)</f>
        <v>0</v>
      </c>
      <c r="K126" s="24">
        <f>J126*5.6</f>
        <v>0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6"/>
    </row>
    <row r="127" spans="1:24" s="27" customFormat="1" ht="13.5" customHeight="1" x14ac:dyDescent="0.35">
      <c r="A127" s="18" t="s">
        <v>277</v>
      </c>
      <c r="B127" s="20" t="s">
        <v>278</v>
      </c>
      <c r="C127" s="19" t="s">
        <v>28</v>
      </c>
      <c r="D127" s="19" t="s">
        <v>29</v>
      </c>
      <c r="E127" s="19" t="s">
        <v>30</v>
      </c>
      <c r="F127" s="19" t="s">
        <v>31</v>
      </c>
      <c r="G127" s="19" t="s">
        <v>32</v>
      </c>
      <c r="H127" s="21">
        <v>1617612.0336000004</v>
      </c>
      <c r="I127" s="22">
        <f>H127*5.6</f>
        <v>9058627.3881600015</v>
      </c>
      <c r="J127" s="23">
        <f>SUM(L127:W127)</f>
        <v>0</v>
      </c>
      <c r="K127" s="24">
        <f>J127*5.6</f>
        <v>0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6"/>
    </row>
    <row r="128" spans="1:24" s="27" customFormat="1" ht="13.5" customHeight="1" x14ac:dyDescent="0.35">
      <c r="A128" s="18" t="s">
        <v>279</v>
      </c>
      <c r="B128" s="20" t="s">
        <v>280</v>
      </c>
      <c r="C128" s="19" t="s">
        <v>42</v>
      </c>
      <c r="D128" s="19" t="s">
        <v>29</v>
      </c>
      <c r="E128" s="19" t="s">
        <v>30</v>
      </c>
      <c r="F128" s="19" t="s">
        <v>31</v>
      </c>
      <c r="G128" s="19" t="s">
        <v>32</v>
      </c>
      <c r="H128" s="21">
        <v>414979.78035714291</v>
      </c>
      <c r="I128" s="22">
        <f>H128*5.6</f>
        <v>2323886.77</v>
      </c>
      <c r="J128" s="23">
        <f>SUM(L128:W128)</f>
        <v>0</v>
      </c>
      <c r="K128" s="24">
        <f>J128*5.6</f>
        <v>0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6"/>
    </row>
    <row r="129" spans="1:24" s="27" customFormat="1" ht="13.5" customHeight="1" x14ac:dyDescent="0.35">
      <c r="A129" s="18" t="s">
        <v>301</v>
      </c>
      <c r="B129" s="20" t="s">
        <v>302</v>
      </c>
      <c r="C129" s="19" t="s">
        <v>42</v>
      </c>
      <c r="D129" s="19" t="s">
        <v>29</v>
      </c>
      <c r="E129" s="19" t="s">
        <v>30</v>
      </c>
      <c r="F129" s="19" t="s">
        <v>31</v>
      </c>
      <c r="G129" s="19" t="s">
        <v>32</v>
      </c>
      <c r="H129" s="21">
        <v>892857.14285714296</v>
      </c>
      <c r="I129" s="22">
        <f>H129*5.6</f>
        <v>5000000</v>
      </c>
      <c r="J129" s="23">
        <v>0</v>
      </c>
      <c r="K129" s="24">
        <f>J129*5.6</f>
        <v>0</v>
      </c>
      <c r="L129" s="25">
        <v>155969.07086892863</v>
      </c>
      <c r="M129" s="25">
        <v>105826.21347303572</v>
      </c>
      <c r="N129" s="25">
        <v>153962.14990928574</v>
      </c>
      <c r="O129" s="25">
        <v>188686.66290500006</v>
      </c>
      <c r="P129" s="25">
        <v>162600.36005571432</v>
      </c>
      <c r="Q129" s="25">
        <v>170888.7130066072</v>
      </c>
      <c r="R129" s="25">
        <v>179374.04373803575</v>
      </c>
      <c r="S129" s="25"/>
      <c r="T129" s="25"/>
      <c r="U129" s="25"/>
      <c r="V129" s="25"/>
      <c r="W129" s="25"/>
      <c r="X129" s="26"/>
    </row>
    <row r="130" spans="1:24" s="27" customFormat="1" ht="13.5" customHeight="1" x14ac:dyDescent="0.35">
      <c r="A130" s="18" t="s">
        <v>303</v>
      </c>
      <c r="B130" s="20" t="s">
        <v>304</v>
      </c>
      <c r="C130" s="19" t="s">
        <v>45</v>
      </c>
      <c r="D130" s="19" t="s">
        <v>29</v>
      </c>
      <c r="E130" s="19" t="s">
        <v>30</v>
      </c>
      <c r="F130" s="19" t="s">
        <v>46</v>
      </c>
      <c r="G130" s="19" t="s">
        <v>32</v>
      </c>
      <c r="H130" s="21">
        <v>2482029</v>
      </c>
      <c r="I130" s="22">
        <f>H130*5.6</f>
        <v>13899362.399999999</v>
      </c>
      <c r="J130" s="23">
        <f>SUM(L130:W130)</f>
        <v>0</v>
      </c>
      <c r="K130" s="24">
        <f>J130*5.6</f>
        <v>0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6"/>
    </row>
    <row r="131" spans="1:24" s="27" customFormat="1" ht="13.5" customHeight="1" x14ac:dyDescent="0.35">
      <c r="A131" s="18" t="s">
        <v>305</v>
      </c>
      <c r="B131" s="20" t="s">
        <v>306</v>
      </c>
      <c r="C131" s="19" t="s">
        <v>45</v>
      </c>
      <c r="D131" s="19" t="s">
        <v>29</v>
      </c>
      <c r="E131" s="19" t="s">
        <v>30</v>
      </c>
      <c r="F131" s="19" t="s">
        <v>46</v>
      </c>
      <c r="G131" s="19" t="s">
        <v>126</v>
      </c>
      <c r="H131" s="21">
        <v>272437.92857142858</v>
      </c>
      <c r="I131" s="22">
        <f>H131*5.6</f>
        <v>1525652.4</v>
      </c>
      <c r="J131" s="23">
        <f>SUM(L131:W131)</f>
        <v>0</v>
      </c>
      <c r="K131" s="24">
        <f>J131*5.6</f>
        <v>0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6"/>
    </row>
    <row r="132" spans="1:24" s="27" customFormat="1" ht="13.5" customHeight="1" x14ac:dyDescent="0.35">
      <c r="A132" s="18" t="s">
        <v>307</v>
      </c>
      <c r="B132" s="20" t="s">
        <v>308</v>
      </c>
      <c r="C132" s="19" t="s">
        <v>45</v>
      </c>
      <c r="D132" s="19" t="s">
        <v>29</v>
      </c>
      <c r="E132" s="19" t="s">
        <v>30</v>
      </c>
      <c r="F132" s="19" t="s">
        <v>46</v>
      </c>
      <c r="G132" s="19" t="s">
        <v>126</v>
      </c>
      <c r="H132" s="21">
        <v>321428.57142857142</v>
      </c>
      <c r="I132" s="22">
        <f>H132*5.6</f>
        <v>1799999.9999999998</v>
      </c>
      <c r="J132" s="23">
        <f>SUM(L132:W132)</f>
        <v>0</v>
      </c>
      <c r="K132" s="24">
        <f>J132*5.6</f>
        <v>0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6"/>
    </row>
    <row r="133" spans="1:24" s="27" customFormat="1" ht="13.5" customHeight="1" x14ac:dyDescent="0.35">
      <c r="A133" s="18" t="s">
        <v>309</v>
      </c>
      <c r="B133" s="20" t="s">
        <v>310</v>
      </c>
      <c r="C133" s="19" t="s">
        <v>45</v>
      </c>
      <c r="D133" s="19" t="s">
        <v>29</v>
      </c>
      <c r="E133" s="19" t="s">
        <v>30</v>
      </c>
      <c r="F133" s="19" t="s">
        <v>46</v>
      </c>
      <c r="G133" s="19" t="s">
        <v>126</v>
      </c>
      <c r="H133" s="21">
        <v>1474745.6078571428</v>
      </c>
      <c r="I133" s="22">
        <f>H133*5.6</f>
        <v>8258575.4039999992</v>
      </c>
      <c r="J133" s="23">
        <f>SUM(L133:W133)</f>
        <v>0</v>
      </c>
      <c r="K133" s="24">
        <f>J133*5.6</f>
        <v>0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6"/>
    </row>
    <row r="134" spans="1:24" s="27" customFormat="1" ht="13.5" customHeight="1" x14ac:dyDescent="0.35">
      <c r="A134" s="18" t="s">
        <v>311</v>
      </c>
      <c r="B134" s="20" t="s">
        <v>312</v>
      </c>
      <c r="C134" s="19" t="s">
        <v>45</v>
      </c>
      <c r="D134" s="19" t="s">
        <v>29</v>
      </c>
      <c r="E134" s="19" t="s">
        <v>30</v>
      </c>
      <c r="F134" s="19" t="s">
        <v>46</v>
      </c>
      <c r="G134" s="19" t="s">
        <v>126</v>
      </c>
      <c r="H134" s="21">
        <v>1300235.7142857143</v>
      </c>
      <c r="I134" s="22">
        <f>H134*5.6</f>
        <v>7281320</v>
      </c>
      <c r="J134" s="23">
        <f>SUM(L134:W134)</f>
        <v>0</v>
      </c>
      <c r="K134" s="24">
        <f>J134*5.6</f>
        <v>0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6"/>
    </row>
    <row r="135" spans="1:24" s="27" customFormat="1" ht="13.5" customHeight="1" x14ac:dyDescent="0.35">
      <c r="A135" s="18" t="s">
        <v>313</v>
      </c>
      <c r="B135" s="20" t="s">
        <v>314</v>
      </c>
      <c r="C135" s="19" t="s">
        <v>45</v>
      </c>
      <c r="D135" s="19" t="s">
        <v>29</v>
      </c>
      <c r="E135" s="19" t="s">
        <v>30</v>
      </c>
      <c r="F135" s="19" t="s">
        <v>46</v>
      </c>
      <c r="G135" s="19" t="s">
        <v>126</v>
      </c>
      <c r="H135" s="21">
        <v>714285.71428571432</v>
      </c>
      <c r="I135" s="22">
        <f>H135*5.6</f>
        <v>4000000</v>
      </c>
      <c r="J135" s="23">
        <f>SUM(L135:W135)</f>
        <v>0</v>
      </c>
      <c r="K135" s="24">
        <f>J135*5.6</f>
        <v>0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6"/>
    </row>
    <row r="136" spans="1:24" s="27" customFormat="1" ht="13.5" customHeight="1" x14ac:dyDescent="0.35">
      <c r="A136" s="18" t="s">
        <v>315</v>
      </c>
      <c r="B136" s="20" t="s">
        <v>316</v>
      </c>
      <c r="C136" s="19" t="s">
        <v>46</v>
      </c>
      <c r="D136" s="19" t="s">
        <v>46</v>
      </c>
      <c r="E136" s="19" t="s">
        <v>53</v>
      </c>
      <c r="F136" s="19" t="s">
        <v>46</v>
      </c>
      <c r="G136" s="19" t="s">
        <v>54</v>
      </c>
      <c r="H136" s="21">
        <v>0</v>
      </c>
      <c r="I136" s="22">
        <v>0</v>
      </c>
      <c r="J136" s="23">
        <f>SUM(L136:W136)</f>
        <v>0</v>
      </c>
      <c r="K136" s="24">
        <f>J136*5.6</f>
        <v>0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6"/>
    </row>
    <row r="137" spans="1:24" s="27" customFormat="1" ht="13.5" customHeight="1" x14ac:dyDescent="0.35">
      <c r="A137" s="18" t="s">
        <v>317</v>
      </c>
      <c r="B137" s="20" t="s">
        <v>318</v>
      </c>
      <c r="C137" s="19" t="s">
        <v>46</v>
      </c>
      <c r="D137" s="19" t="s">
        <v>46</v>
      </c>
      <c r="E137" s="19" t="s">
        <v>53</v>
      </c>
      <c r="F137" s="19" t="s">
        <v>46</v>
      </c>
      <c r="G137" s="19" t="s">
        <v>54</v>
      </c>
      <c r="H137" s="21">
        <v>0</v>
      </c>
      <c r="I137" s="22">
        <v>0</v>
      </c>
      <c r="J137" s="23">
        <f>SUM(L137:W137)</f>
        <v>0</v>
      </c>
      <c r="K137" s="24">
        <f>J137*5.6</f>
        <v>0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6"/>
    </row>
    <row r="138" spans="1:24" s="27" customFormat="1" ht="13.5" customHeight="1" x14ac:dyDescent="0.35">
      <c r="A138" s="18" t="s">
        <v>319</v>
      </c>
      <c r="B138" s="20" t="s">
        <v>320</v>
      </c>
      <c r="C138" s="19" t="s">
        <v>46</v>
      </c>
      <c r="D138" s="19" t="s">
        <v>46</v>
      </c>
      <c r="E138" s="19" t="s">
        <v>53</v>
      </c>
      <c r="F138" s="19" t="s">
        <v>46</v>
      </c>
      <c r="G138" s="19" t="s">
        <v>32</v>
      </c>
      <c r="H138" s="21">
        <v>0</v>
      </c>
      <c r="I138" s="22">
        <v>0</v>
      </c>
      <c r="J138" s="23">
        <f>SUM(L138:W138)</f>
        <v>0</v>
      </c>
      <c r="K138" s="24">
        <f>J138*5.6</f>
        <v>0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6"/>
    </row>
    <row r="139" spans="1:24" s="27" customFormat="1" ht="13.5" customHeight="1" x14ac:dyDescent="0.35">
      <c r="A139" s="18" t="s">
        <v>321</v>
      </c>
      <c r="B139" s="20" t="s">
        <v>322</v>
      </c>
      <c r="C139" s="19" t="s">
        <v>46</v>
      </c>
      <c r="D139" s="19" t="s">
        <v>46</v>
      </c>
      <c r="E139" s="19" t="s">
        <v>53</v>
      </c>
      <c r="F139" s="19" t="s">
        <v>46</v>
      </c>
      <c r="G139" s="19" t="s">
        <v>54</v>
      </c>
      <c r="H139" s="21">
        <v>0</v>
      </c>
      <c r="I139" s="22">
        <v>0</v>
      </c>
      <c r="J139" s="23">
        <f>SUM(L139:W139)</f>
        <v>0</v>
      </c>
      <c r="K139" s="24">
        <f>J139*5.6</f>
        <v>0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6"/>
    </row>
    <row r="140" spans="1:24" s="27" customFormat="1" ht="13.5" customHeight="1" x14ac:dyDescent="0.35">
      <c r="A140" s="18" t="s">
        <v>323</v>
      </c>
      <c r="B140" s="20" t="s">
        <v>324</v>
      </c>
      <c r="C140" s="19" t="s">
        <v>46</v>
      </c>
      <c r="D140" s="19" t="s">
        <v>46</v>
      </c>
      <c r="E140" s="19" t="s">
        <v>53</v>
      </c>
      <c r="F140" s="19" t="s">
        <v>46</v>
      </c>
      <c r="G140" s="19" t="s">
        <v>54</v>
      </c>
      <c r="H140" s="21">
        <v>0</v>
      </c>
      <c r="I140" s="22">
        <v>0</v>
      </c>
      <c r="J140" s="23">
        <f>SUM(L140:W140)</f>
        <v>0</v>
      </c>
      <c r="K140" s="24">
        <f>J140*5.6</f>
        <v>0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6"/>
    </row>
    <row r="141" spans="1:24" s="27" customFormat="1" ht="13.5" customHeight="1" x14ac:dyDescent="0.35">
      <c r="A141" s="18" t="s">
        <v>325</v>
      </c>
      <c r="B141" s="20" t="s">
        <v>326</v>
      </c>
      <c r="C141" s="19" t="s">
        <v>46</v>
      </c>
      <c r="D141" s="19" t="s">
        <v>46</v>
      </c>
      <c r="E141" s="19" t="s">
        <v>53</v>
      </c>
      <c r="F141" s="19" t="s">
        <v>46</v>
      </c>
      <c r="G141" s="19" t="s">
        <v>54</v>
      </c>
      <c r="H141" s="21">
        <v>0</v>
      </c>
      <c r="I141" s="22">
        <v>0</v>
      </c>
      <c r="J141" s="23">
        <f>SUM(L141:W141)</f>
        <v>0</v>
      </c>
      <c r="K141" s="24">
        <f>J141*5.6</f>
        <v>0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6"/>
    </row>
    <row r="142" spans="1:24" s="27" customFormat="1" ht="13.5" customHeight="1" x14ac:dyDescent="0.35">
      <c r="A142" s="18" t="s">
        <v>327</v>
      </c>
      <c r="B142" s="20" t="s">
        <v>328</v>
      </c>
      <c r="C142" s="19" t="s">
        <v>45</v>
      </c>
      <c r="D142" s="19" t="s">
        <v>29</v>
      </c>
      <c r="E142" s="19" t="s">
        <v>30</v>
      </c>
      <c r="F142" s="19" t="s">
        <v>46</v>
      </c>
      <c r="G142" s="19" t="s">
        <v>126</v>
      </c>
      <c r="H142" s="21">
        <v>1190357.142857143</v>
      </c>
      <c r="I142" s="22">
        <f>H142*5.6</f>
        <v>6666000</v>
      </c>
      <c r="J142" s="23">
        <f>SUM(L142:W142)</f>
        <v>0</v>
      </c>
      <c r="K142" s="24">
        <f>J142*5.6</f>
        <v>0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6"/>
    </row>
    <row r="143" spans="1:24" s="27" customFormat="1" ht="13.5" customHeight="1" x14ac:dyDescent="0.35">
      <c r="A143" s="18" t="s">
        <v>331</v>
      </c>
      <c r="B143" s="20" t="s">
        <v>332</v>
      </c>
      <c r="C143" s="19" t="s">
        <v>333</v>
      </c>
      <c r="D143" s="19" t="s">
        <v>101</v>
      </c>
      <c r="E143" s="19" t="s">
        <v>37</v>
      </c>
      <c r="F143" s="19" t="s">
        <v>31</v>
      </c>
      <c r="G143" s="19" t="s">
        <v>32</v>
      </c>
      <c r="H143" s="21">
        <v>10522.10892857143</v>
      </c>
      <c r="I143" s="22">
        <f>H143*5.6</f>
        <v>58923.810000000005</v>
      </c>
      <c r="J143" s="23">
        <f>SUM(L143:W143)</f>
        <v>0</v>
      </c>
      <c r="K143" s="24">
        <f>J143*5.6</f>
        <v>0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6"/>
    </row>
    <row r="144" spans="1:24" s="27" customFormat="1" ht="13.5" customHeight="1" x14ac:dyDescent="0.35">
      <c r="A144" s="18" t="s">
        <v>334</v>
      </c>
      <c r="B144" s="20" t="s">
        <v>335</v>
      </c>
      <c r="C144" s="19" t="s">
        <v>333</v>
      </c>
      <c r="D144" s="19" t="s">
        <v>101</v>
      </c>
      <c r="E144" s="19" t="s">
        <v>37</v>
      </c>
      <c r="F144" s="19" t="s">
        <v>31</v>
      </c>
      <c r="G144" s="19" t="s">
        <v>32</v>
      </c>
      <c r="H144" s="21">
        <v>37430.997991071432</v>
      </c>
      <c r="I144" s="22">
        <f>H144*5.6</f>
        <v>209613.58875</v>
      </c>
      <c r="J144" s="23">
        <f>SUM(L144:W144)</f>
        <v>0</v>
      </c>
      <c r="K144" s="24">
        <f>J144*5.6</f>
        <v>0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6"/>
    </row>
    <row r="145" spans="1:24" s="27" customFormat="1" ht="13.5" customHeight="1" x14ac:dyDescent="0.35">
      <c r="A145" s="18" t="s">
        <v>338</v>
      </c>
      <c r="B145" s="20" t="s">
        <v>339</v>
      </c>
      <c r="C145" s="19" t="s">
        <v>35</v>
      </c>
      <c r="D145" s="19" t="s">
        <v>36</v>
      </c>
      <c r="E145" s="19" t="s">
        <v>37</v>
      </c>
      <c r="F145" s="19" t="s">
        <v>31</v>
      </c>
      <c r="G145" s="19" t="s">
        <v>38</v>
      </c>
      <c r="H145" s="21">
        <v>31750.368710937495</v>
      </c>
      <c r="I145" s="22">
        <f>H145*5.6</f>
        <v>177802.06478124997</v>
      </c>
      <c r="J145" s="23">
        <f>SUM(L145:W145)</f>
        <v>0</v>
      </c>
      <c r="K145" s="24">
        <f>J145*5.6</f>
        <v>0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6"/>
    </row>
    <row r="146" spans="1:24" s="27" customFormat="1" ht="13.5" customHeight="1" x14ac:dyDescent="0.35">
      <c r="A146" s="18" t="s">
        <v>340</v>
      </c>
      <c r="B146" s="20" t="s">
        <v>341</v>
      </c>
      <c r="C146" s="19" t="s">
        <v>342</v>
      </c>
      <c r="D146" s="19" t="s">
        <v>36</v>
      </c>
      <c r="E146" s="19" t="s">
        <v>37</v>
      </c>
      <c r="F146" s="19" t="s">
        <v>31</v>
      </c>
      <c r="G146" s="19" t="s">
        <v>32</v>
      </c>
      <c r="H146" s="21">
        <v>4524.9895833333339</v>
      </c>
      <c r="I146" s="22">
        <f>H146*5.6</f>
        <v>25339.941666666669</v>
      </c>
      <c r="J146" s="23">
        <f>SUM(L146:W146)</f>
        <v>0</v>
      </c>
      <c r="K146" s="24">
        <f>J146*5.6</f>
        <v>0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6"/>
    </row>
    <row r="147" spans="1:24" s="27" customFormat="1" ht="13.5" customHeight="1" x14ac:dyDescent="0.35">
      <c r="A147" s="18" t="s">
        <v>343</v>
      </c>
      <c r="B147" s="20" t="s">
        <v>344</v>
      </c>
      <c r="C147" s="19" t="s">
        <v>342</v>
      </c>
      <c r="D147" s="19" t="s">
        <v>36</v>
      </c>
      <c r="E147" s="19" t="s">
        <v>37</v>
      </c>
      <c r="F147" s="19" t="s">
        <v>31</v>
      </c>
      <c r="G147" s="19" t="s">
        <v>32</v>
      </c>
      <c r="H147" s="21">
        <v>24437.483500000002</v>
      </c>
      <c r="I147" s="22">
        <f>H147*5.6</f>
        <v>136849.90760000001</v>
      </c>
      <c r="J147" s="23">
        <f>SUM(L147:W147)</f>
        <v>0</v>
      </c>
      <c r="K147" s="24">
        <f>J147*5.6</f>
        <v>0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6"/>
    </row>
    <row r="148" spans="1:24" s="27" customFormat="1" ht="13.5" customHeight="1" x14ac:dyDescent="0.35">
      <c r="A148" s="18" t="s">
        <v>347</v>
      </c>
      <c r="B148" s="20" t="s">
        <v>348</v>
      </c>
      <c r="C148" s="19" t="s">
        <v>49</v>
      </c>
      <c r="D148" s="19" t="s">
        <v>50</v>
      </c>
      <c r="E148" s="19" t="s">
        <v>30</v>
      </c>
      <c r="F148" s="19" t="s">
        <v>31</v>
      </c>
      <c r="G148" s="19" t="s">
        <v>38</v>
      </c>
      <c r="H148" s="21">
        <v>5976</v>
      </c>
      <c r="I148" s="22">
        <f>H148*5.6</f>
        <v>33465.599999999999</v>
      </c>
      <c r="J148" s="23">
        <f>SUM(L148:W148)</f>
        <v>0</v>
      </c>
      <c r="K148" s="24">
        <f>J148*5.6</f>
        <v>0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6"/>
    </row>
    <row r="149" spans="1:24" s="27" customFormat="1" ht="13.5" customHeight="1" x14ac:dyDescent="0.35">
      <c r="A149" s="18" t="s">
        <v>349</v>
      </c>
      <c r="B149" s="20" t="s">
        <v>350</v>
      </c>
      <c r="C149" s="19" t="s">
        <v>45</v>
      </c>
      <c r="D149" s="19" t="s">
        <v>29</v>
      </c>
      <c r="E149" s="19" t="s">
        <v>30</v>
      </c>
      <c r="F149" s="19" t="s">
        <v>31</v>
      </c>
      <c r="G149" s="19" t="s">
        <v>38</v>
      </c>
      <c r="H149" s="21">
        <v>56048.317946428579</v>
      </c>
      <c r="I149" s="22">
        <f>H149*5.6</f>
        <v>313870.58050000004</v>
      </c>
      <c r="J149" s="23">
        <f>SUM(L149:W149)</f>
        <v>0</v>
      </c>
      <c r="K149" s="24">
        <f>J149*5.6</f>
        <v>0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6"/>
    </row>
    <row r="150" spans="1:24" s="27" customFormat="1" ht="13.5" customHeight="1" x14ac:dyDescent="0.35">
      <c r="A150" s="18" t="s">
        <v>351</v>
      </c>
      <c r="B150" s="20" t="s">
        <v>352</v>
      </c>
      <c r="C150" s="19" t="s">
        <v>100</v>
      </c>
      <c r="D150" s="19" t="s">
        <v>101</v>
      </c>
      <c r="E150" s="19" t="s">
        <v>37</v>
      </c>
      <c r="F150" s="19" t="s">
        <v>31</v>
      </c>
      <c r="G150" s="19" t="s">
        <v>32</v>
      </c>
      <c r="H150" s="21">
        <v>21498.754017857143</v>
      </c>
      <c r="I150" s="22">
        <f>H150*5.6</f>
        <v>120393.02249999999</v>
      </c>
      <c r="J150" s="23">
        <f>SUM(L150:W150)</f>
        <v>0</v>
      </c>
      <c r="K150" s="24">
        <f>J150*5.6</f>
        <v>0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6"/>
    </row>
    <row r="151" spans="1:24" s="27" customFormat="1" ht="13.5" customHeight="1" x14ac:dyDescent="0.35">
      <c r="A151" s="18" t="s">
        <v>353</v>
      </c>
      <c r="B151" s="20" t="s">
        <v>354</v>
      </c>
      <c r="C151" s="19" t="s">
        <v>100</v>
      </c>
      <c r="D151" s="19" t="s">
        <v>101</v>
      </c>
      <c r="E151" s="19" t="s">
        <v>37</v>
      </c>
      <c r="F151" s="19" t="s">
        <v>31</v>
      </c>
      <c r="G151" s="19" t="s">
        <v>32</v>
      </c>
      <c r="H151" s="21">
        <v>37433.776138392859</v>
      </c>
      <c r="I151" s="22">
        <f>H151*5.6</f>
        <v>209629.14637500001</v>
      </c>
      <c r="J151" s="23">
        <f>SUM(L151:W151)</f>
        <v>0</v>
      </c>
      <c r="K151" s="24">
        <f>J151*5.6</f>
        <v>0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6"/>
    </row>
    <row r="152" spans="1:24" s="27" customFormat="1" ht="13.5" customHeight="1" x14ac:dyDescent="0.35">
      <c r="A152" s="18" t="s">
        <v>355</v>
      </c>
      <c r="B152" s="20" t="s">
        <v>356</v>
      </c>
      <c r="C152" s="19" t="s">
        <v>100</v>
      </c>
      <c r="D152" s="19" t="s">
        <v>101</v>
      </c>
      <c r="E152" s="19" t="s">
        <v>37</v>
      </c>
      <c r="F152" s="19" t="s">
        <v>31</v>
      </c>
      <c r="G152" s="19" t="s">
        <v>32</v>
      </c>
      <c r="H152" s="21">
        <v>48528.998437500013</v>
      </c>
      <c r="I152" s="22">
        <f>H152*5.6</f>
        <v>271762.39125000004</v>
      </c>
      <c r="J152" s="23">
        <f>SUM(L152:W152)</f>
        <v>0</v>
      </c>
      <c r="K152" s="24">
        <f>J152*5.6</f>
        <v>0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6"/>
    </row>
    <row r="153" spans="1:24" s="27" customFormat="1" ht="13.5" customHeight="1" x14ac:dyDescent="0.35">
      <c r="A153" s="18" t="s">
        <v>357</v>
      </c>
      <c r="B153" s="20" t="s">
        <v>358</v>
      </c>
      <c r="C153" s="19" t="s">
        <v>100</v>
      </c>
      <c r="D153" s="19" t="s">
        <v>101</v>
      </c>
      <c r="E153" s="19" t="s">
        <v>37</v>
      </c>
      <c r="F153" s="19" t="s">
        <v>31</v>
      </c>
      <c r="G153" s="19" t="s">
        <v>32</v>
      </c>
      <c r="H153" s="21">
        <v>15073.844882812502</v>
      </c>
      <c r="I153" s="22">
        <f>H153*5.6</f>
        <v>84413.531343750001</v>
      </c>
      <c r="J153" s="23">
        <f>SUM(L153:W153)</f>
        <v>0</v>
      </c>
      <c r="K153" s="24">
        <f>J153*5.6</f>
        <v>0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6"/>
    </row>
    <row r="154" spans="1:24" s="27" customFormat="1" ht="13.5" customHeight="1" x14ac:dyDescent="0.35">
      <c r="A154" s="18" t="s">
        <v>359</v>
      </c>
      <c r="B154" s="20" t="s">
        <v>360</v>
      </c>
      <c r="C154" s="19" t="s">
        <v>100</v>
      </c>
      <c r="D154" s="19" t="s">
        <v>101</v>
      </c>
      <c r="E154" s="19" t="s">
        <v>37</v>
      </c>
      <c r="F154" s="19" t="s">
        <v>31</v>
      </c>
      <c r="G154" s="19" t="s">
        <v>32</v>
      </c>
      <c r="H154" s="21">
        <v>35166.478242857142</v>
      </c>
      <c r="I154" s="22">
        <f>H154*5.6</f>
        <v>196932.27815999999</v>
      </c>
      <c r="J154" s="23">
        <f>SUM(L154:W154)</f>
        <v>0</v>
      </c>
      <c r="K154" s="24">
        <f>J154*5.6</f>
        <v>0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6"/>
    </row>
    <row r="155" spans="1:24" s="27" customFormat="1" ht="13.5" customHeight="1" x14ac:dyDescent="0.35">
      <c r="A155" s="18" t="s">
        <v>361</v>
      </c>
      <c r="B155" s="20" t="s">
        <v>362</v>
      </c>
      <c r="C155" s="19" t="s">
        <v>100</v>
      </c>
      <c r="D155" s="19" t="s">
        <v>101</v>
      </c>
      <c r="E155" s="19" t="s">
        <v>37</v>
      </c>
      <c r="F155" s="19" t="s">
        <v>31</v>
      </c>
      <c r="G155" s="19" t="s">
        <v>32</v>
      </c>
      <c r="H155" s="21">
        <v>20611.428373325896</v>
      </c>
      <c r="I155" s="22">
        <f>H155*5.6</f>
        <v>115423.99889062501</v>
      </c>
      <c r="J155" s="23">
        <f>SUM(L155:W155)</f>
        <v>0</v>
      </c>
      <c r="K155" s="24">
        <f>J155*5.6</f>
        <v>0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6"/>
    </row>
    <row r="156" spans="1:24" s="27" customFormat="1" ht="13.5" customHeight="1" x14ac:dyDescent="0.35">
      <c r="A156" s="18" t="s">
        <v>363</v>
      </c>
      <c r="B156" s="20" t="s">
        <v>364</v>
      </c>
      <c r="C156" s="19" t="s">
        <v>100</v>
      </c>
      <c r="D156" s="19" t="s">
        <v>101</v>
      </c>
      <c r="E156" s="19" t="s">
        <v>37</v>
      </c>
      <c r="F156" s="19" t="s">
        <v>31</v>
      </c>
      <c r="G156" s="19" t="s">
        <v>32</v>
      </c>
      <c r="H156" s="21">
        <v>83674.184357142876</v>
      </c>
      <c r="I156" s="22">
        <f>H156*5.6</f>
        <v>468575.43240000005</v>
      </c>
      <c r="J156" s="23">
        <f>SUM(L156:W156)</f>
        <v>0</v>
      </c>
      <c r="K156" s="24">
        <f>J156*5.6</f>
        <v>0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6"/>
    </row>
    <row r="157" spans="1:24" s="27" customFormat="1" ht="13.5" customHeight="1" x14ac:dyDescent="0.35">
      <c r="A157" s="18" t="s">
        <v>365</v>
      </c>
      <c r="B157" s="20" t="s">
        <v>366</v>
      </c>
      <c r="C157" s="19" t="s">
        <v>100</v>
      </c>
      <c r="D157" s="19" t="s">
        <v>101</v>
      </c>
      <c r="E157" s="19" t="s">
        <v>37</v>
      </c>
      <c r="F157" s="19" t="s">
        <v>31</v>
      </c>
      <c r="G157" s="19" t="s">
        <v>32</v>
      </c>
      <c r="H157" s="21">
        <v>30626.89658928572</v>
      </c>
      <c r="I157" s="22">
        <f>H157*5.6</f>
        <v>171510.62090000001</v>
      </c>
      <c r="J157" s="23">
        <f>SUM(L157:W157)</f>
        <v>0</v>
      </c>
      <c r="K157" s="24">
        <f>J157*5.6</f>
        <v>0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6"/>
    </row>
    <row r="158" spans="1:24" s="27" customFormat="1" ht="13.5" customHeight="1" x14ac:dyDescent="0.35">
      <c r="A158" s="18" t="s">
        <v>367</v>
      </c>
      <c r="B158" s="20" t="s">
        <v>368</v>
      </c>
      <c r="C158" s="19" t="s">
        <v>100</v>
      </c>
      <c r="D158" s="19" t="s">
        <v>101</v>
      </c>
      <c r="E158" s="19" t="s">
        <v>37</v>
      </c>
      <c r="F158" s="19" t="s">
        <v>31</v>
      </c>
      <c r="G158" s="19" t="s">
        <v>32</v>
      </c>
      <c r="H158" s="21">
        <v>6144.6752232142862</v>
      </c>
      <c r="I158" s="22">
        <f>H158*5.6</f>
        <v>34410.181250000001</v>
      </c>
      <c r="J158" s="23">
        <f>SUM(L158:W158)</f>
        <v>0</v>
      </c>
      <c r="K158" s="24">
        <f>J158*5.6</f>
        <v>0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6"/>
    </row>
    <row r="159" spans="1:24" s="27" customFormat="1" ht="13.5" customHeight="1" x14ac:dyDescent="0.35">
      <c r="A159" s="18" t="s">
        <v>369</v>
      </c>
      <c r="B159" s="20" t="s">
        <v>370</v>
      </c>
      <c r="C159" s="19" t="s">
        <v>100</v>
      </c>
      <c r="D159" s="19" t="s">
        <v>101</v>
      </c>
      <c r="E159" s="19" t="s">
        <v>37</v>
      </c>
      <c r="F159" s="19" t="s">
        <v>31</v>
      </c>
      <c r="G159" s="19" t="s">
        <v>32</v>
      </c>
      <c r="H159" s="21">
        <v>37505.93</v>
      </c>
      <c r="I159" s="22">
        <f>H159*5.6</f>
        <v>210033.20799999998</v>
      </c>
      <c r="J159" s="23">
        <f>SUM(L159:W159)</f>
        <v>0</v>
      </c>
      <c r="K159" s="24">
        <f>J159*5.6</f>
        <v>0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6"/>
    </row>
    <row r="160" spans="1:24" s="27" customFormat="1" ht="13.5" customHeight="1" x14ac:dyDescent="0.35">
      <c r="A160" s="18" t="s">
        <v>371</v>
      </c>
      <c r="B160" s="20" t="s">
        <v>372</v>
      </c>
      <c r="C160" s="19" t="s">
        <v>100</v>
      </c>
      <c r="D160" s="19" t="s">
        <v>101</v>
      </c>
      <c r="E160" s="19" t="s">
        <v>37</v>
      </c>
      <c r="F160" s="19" t="s">
        <v>31</v>
      </c>
      <c r="G160" s="19" t="s">
        <v>32</v>
      </c>
      <c r="H160" s="21">
        <v>285763.88888888888</v>
      </c>
      <c r="I160" s="22">
        <f>H160*5.6</f>
        <v>1600277.7777777775</v>
      </c>
      <c r="J160" s="23">
        <f>SUM(L160:W160)</f>
        <v>0</v>
      </c>
      <c r="K160" s="24">
        <f>J160*5.6</f>
        <v>0</v>
      </c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6"/>
    </row>
    <row r="161" spans="1:24" s="27" customFormat="1" ht="13.5" customHeight="1" x14ac:dyDescent="0.35">
      <c r="A161" s="18" t="s">
        <v>373</v>
      </c>
      <c r="B161" s="20" t="s">
        <v>374</v>
      </c>
      <c r="C161" s="19" t="s">
        <v>100</v>
      </c>
      <c r="D161" s="19" t="s">
        <v>101</v>
      </c>
      <c r="E161" s="19" t="s">
        <v>37</v>
      </c>
      <c r="F161" s="19" t="s">
        <v>31</v>
      </c>
      <c r="G161" s="19" t="s">
        <v>32</v>
      </c>
      <c r="H161" s="21">
        <v>0</v>
      </c>
      <c r="I161" s="22">
        <f>H161*5.6</f>
        <v>0</v>
      </c>
      <c r="J161" s="23">
        <f>SUM(L161:W161)</f>
        <v>0</v>
      </c>
      <c r="K161" s="24">
        <f>J161*5.6</f>
        <v>0</v>
      </c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6"/>
    </row>
    <row r="162" spans="1:24" s="27" customFormat="1" ht="13.5" customHeight="1" x14ac:dyDescent="0.35">
      <c r="A162" s="18" t="s">
        <v>375</v>
      </c>
      <c r="B162" s="20" t="s">
        <v>376</v>
      </c>
      <c r="C162" s="19" t="s">
        <v>293</v>
      </c>
      <c r="D162" s="19" t="s">
        <v>36</v>
      </c>
      <c r="E162" s="19" t="s">
        <v>37</v>
      </c>
      <c r="F162" s="19" t="s">
        <v>31</v>
      </c>
      <c r="G162" s="19" t="s">
        <v>32</v>
      </c>
      <c r="H162" s="21">
        <v>0</v>
      </c>
      <c r="I162" s="22">
        <f>H162*5.6</f>
        <v>0</v>
      </c>
      <c r="J162" s="23">
        <f>SUM(L162:W162)</f>
        <v>0</v>
      </c>
      <c r="K162" s="24">
        <f>J162*5.6</f>
        <v>0</v>
      </c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6"/>
    </row>
    <row r="163" spans="1:24" s="27" customFormat="1" ht="13.5" customHeight="1" x14ac:dyDescent="0.35">
      <c r="A163" s="18" t="s">
        <v>377</v>
      </c>
      <c r="B163" s="20" t="s">
        <v>378</v>
      </c>
      <c r="C163" s="19" t="s">
        <v>293</v>
      </c>
      <c r="D163" s="19" t="s">
        <v>36</v>
      </c>
      <c r="E163" s="19" t="s">
        <v>37</v>
      </c>
      <c r="F163" s="19" t="s">
        <v>31</v>
      </c>
      <c r="G163" s="19" t="s">
        <v>32</v>
      </c>
      <c r="H163" s="21">
        <v>0</v>
      </c>
      <c r="I163" s="22">
        <v>0</v>
      </c>
      <c r="J163" s="23">
        <f>SUM(L163:W163)</f>
        <v>0</v>
      </c>
      <c r="K163" s="24">
        <f>J163*5.6</f>
        <v>0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6"/>
    </row>
    <row r="164" spans="1:24" s="27" customFormat="1" ht="13.5" customHeight="1" x14ac:dyDescent="0.35">
      <c r="A164" s="18" t="s">
        <v>379</v>
      </c>
      <c r="B164" s="20" t="s">
        <v>380</v>
      </c>
      <c r="C164" s="19" t="s">
        <v>293</v>
      </c>
      <c r="D164" s="19" t="s">
        <v>36</v>
      </c>
      <c r="E164" s="19" t="s">
        <v>37</v>
      </c>
      <c r="F164" s="19" t="s">
        <v>31</v>
      </c>
      <c r="G164" s="19" t="s">
        <v>32</v>
      </c>
      <c r="H164" s="21">
        <v>0</v>
      </c>
      <c r="I164" s="22">
        <v>0</v>
      </c>
      <c r="J164" s="23">
        <f>SUM(L164:W164)</f>
        <v>0</v>
      </c>
      <c r="K164" s="24">
        <f>J164*5.6</f>
        <v>0</v>
      </c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6"/>
    </row>
    <row r="165" spans="1:24" s="27" customFormat="1" ht="13.5" customHeight="1" x14ac:dyDescent="0.35">
      <c r="A165" s="18" t="s">
        <v>381</v>
      </c>
      <c r="B165" s="20" t="s">
        <v>382</v>
      </c>
      <c r="C165" s="19" t="s">
        <v>28</v>
      </c>
      <c r="D165" s="19" t="s">
        <v>29</v>
      </c>
      <c r="E165" s="19" t="s">
        <v>30</v>
      </c>
      <c r="F165" s="19" t="s">
        <v>31</v>
      </c>
      <c r="G165" s="19" t="s">
        <v>32</v>
      </c>
      <c r="H165" s="21">
        <v>480448.0377358491</v>
      </c>
      <c r="I165" s="22">
        <f>H165*5.6</f>
        <v>2690509.0113207549</v>
      </c>
      <c r="J165" s="23">
        <f>SUM(L165:W165)</f>
        <v>0</v>
      </c>
      <c r="K165" s="24">
        <f>J165*5.6</f>
        <v>0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6"/>
    </row>
    <row r="166" spans="1:24" s="27" customFormat="1" ht="13.5" customHeight="1" x14ac:dyDescent="0.35">
      <c r="A166" s="18" t="s">
        <v>383</v>
      </c>
      <c r="B166" s="20" t="s">
        <v>384</v>
      </c>
      <c r="C166" s="19" t="s">
        <v>333</v>
      </c>
      <c r="D166" s="19" t="s">
        <v>101</v>
      </c>
      <c r="E166" s="19" t="s">
        <v>37</v>
      </c>
      <c r="F166" s="19" t="s">
        <v>31</v>
      </c>
      <c r="G166" s="19" t="s">
        <v>38</v>
      </c>
      <c r="H166" s="21">
        <v>0</v>
      </c>
      <c r="I166" s="22">
        <f>H166*5.6</f>
        <v>0</v>
      </c>
      <c r="J166" s="23">
        <f>SUM(L166:W166)</f>
        <v>0</v>
      </c>
      <c r="K166" s="24">
        <f>J166*5.6</f>
        <v>0</v>
      </c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6"/>
    </row>
    <row r="167" spans="1:24" s="27" customFormat="1" ht="13.5" customHeight="1" x14ac:dyDescent="0.35">
      <c r="A167" s="18" t="s">
        <v>385</v>
      </c>
      <c r="B167" s="20" t="s">
        <v>386</v>
      </c>
      <c r="C167" s="19" t="s">
        <v>28</v>
      </c>
      <c r="D167" s="19" t="s">
        <v>29</v>
      </c>
      <c r="E167" s="19" t="s">
        <v>30</v>
      </c>
      <c r="F167" s="19" t="s">
        <v>46</v>
      </c>
      <c r="G167" s="19" t="s">
        <v>126</v>
      </c>
      <c r="H167" s="21">
        <v>300000</v>
      </c>
      <c r="I167" s="22">
        <f>H167*5.6</f>
        <v>1680000</v>
      </c>
      <c r="J167" s="23">
        <f>SUM(L167:W167)</f>
        <v>0</v>
      </c>
      <c r="K167" s="24">
        <f>J167*5.6</f>
        <v>0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6"/>
    </row>
    <row r="168" spans="1:24" s="27" customFormat="1" ht="13.5" customHeight="1" x14ac:dyDescent="0.35">
      <c r="A168" s="18" t="s">
        <v>387</v>
      </c>
      <c r="B168" s="20" t="s">
        <v>388</v>
      </c>
      <c r="C168" s="19" t="s">
        <v>28</v>
      </c>
      <c r="D168" s="19" t="s">
        <v>29</v>
      </c>
      <c r="E168" s="19" t="s">
        <v>30</v>
      </c>
      <c r="F168" s="19" t="s">
        <v>31</v>
      </c>
      <c r="G168" s="19" t="s">
        <v>32</v>
      </c>
      <c r="H168" s="21">
        <v>575091</v>
      </c>
      <c r="I168" s="22">
        <f>H168*5.6</f>
        <v>3220509.5999999996</v>
      </c>
      <c r="J168" s="23">
        <f>SUM(L168:W168)</f>
        <v>0</v>
      </c>
      <c r="K168" s="24">
        <f>J168*5.6</f>
        <v>0</v>
      </c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6"/>
    </row>
    <row r="169" spans="1:24" s="27" customFormat="1" ht="13.5" customHeight="1" x14ac:dyDescent="0.35">
      <c r="A169" s="18" t="s">
        <v>389</v>
      </c>
      <c r="B169" s="20" t="s">
        <v>390</v>
      </c>
      <c r="C169" s="19" t="s">
        <v>342</v>
      </c>
      <c r="D169" s="19" t="s">
        <v>36</v>
      </c>
      <c r="E169" s="19" t="s">
        <v>37</v>
      </c>
      <c r="F169" s="19" t="s">
        <v>31</v>
      </c>
      <c r="G169" s="19" t="s">
        <v>38</v>
      </c>
      <c r="H169" s="21">
        <v>6688.5772413883142</v>
      </c>
      <c r="I169" s="22">
        <f>H169*5.6</f>
        <v>37456.032551774559</v>
      </c>
      <c r="J169" s="23">
        <f>SUM(L169:W169)</f>
        <v>0</v>
      </c>
      <c r="K169" s="24">
        <f>J169*5.6</f>
        <v>0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6"/>
    </row>
    <row r="170" spans="1:24" s="27" customFormat="1" ht="13.5" customHeight="1" x14ac:dyDescent="0.35">
      <c r="A170" s="18" t="s">
        <v>391</v>
      </c>
      <c r="B170" s="20" t="s">
        <v>392</v>
      </c>
      <c r="C170" s="19" t="s">
        <v>28</v>
      </c>
      <c r="D170" s="19" t="s">
        <v>29</v>
      </c>
      <c r="E170" s="19" t="s">
        <v>30</v>
      </c>
      <c r="F170" s="19" t="s">
        <v>31</v>
      </c>
      <c r="G170" s="19" t="s">
        <v>32</v>
      </c>
      <c r="H170" s="21">
        <v>724241</v>
      </c>
      <c r="I170" s="22">
        <f>H170*5.6</f>
        <v>4055749.5999999996</v>
      </c>
      <c r="J170" s="23">
        <f>SUM(L170:W170)</f>
        <v>0</v>
      </c>
      <c r="K170" s="24">
        <f>J170*5.6</f>
        <v>0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6"/>
    </row>
    <row r="171" spans="1:24" s="27" customFormat="1" ht="13.5" customHeight="1" x14ac:dyDescent="0.35">
      <c r="A171" s="18" t="s">
        <v>393</v>
      </c>
      <c r="B171" s="20" t="s">
        <v>394</v>
      </c>
      <c r="C171" s="19" t="s">
        <v>300</v>
      </c>
      <c r="D171" s="19" t="s">
        <v>101</v>
      </c>
      <c r="E171" s="19" t="s">
        <v>37</v>
      </c>
      <c r="F171" s="19" t="s">
        <v>31</v>
      </c>
      <c r="G171" s="19" t="s">
        <v>38</v>
      </c>
      <c r="H171" s="21">
        <v>295162.47914062504</v>
      </c>
      <c r="I171" s="22">
        <f>H171*5.6</f>
        <v>1652909.8831875001</v>
      </c>
      <c r="J171" s="23">
        <f>SUM(L171:W171)</f>
        <v>0</v>
      </c>
      <c r="K171" s="24">
        <f>J171*5.6</f>
        <v>0</v>
      </c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6"/>
    </row>
    <row r="172" spans="1:24" s="27" customFormat="1" ht="13.5" customHeight="1" x14ac:dyDescent="0.35">
      <c r="A172" s="18" t="s">
        <v>395</v>
      </c>
      <c r="B172" s="20" t="s">
        <v>396</v>
      </c>
      <c r="C172" s="19" t="s">
        <v>300</v>
      </c>
      <c r="D172" s="19" t="s">
        <v>101</v>
      </c>
      <c r="E172" s="19" t="s">
        <v>37</v>
      </c>
      <c r="F172" s="19" t="s">
        <v>46</v>
      </c>
      <c r="G172" s="19" t="s">
        <v>38</v>
      </c>
      <c r="H172" s="21">
        <v>295162.47914062504</v>
      </c>
      <c r="I172" s="22">
        <f>H172*5.6</f>
        <v>1652909.8831875001</v>
      </c>
      <c r="J172" s="23">
        <f>SUM(L172:W172)</f>
        <v>0</v>
      </c>
      <c r="K172" s="24">
        <f>J172*5.6</f>
        <v>0</v>
      </c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6"/>
    </row>
    <row r="173" spans="1:24" s="27" customFormat="1" ht="13.5" customHeight="1" x14ac:dyDescent="0.35">
      <c r="A173" s="18" t="s">
        <v>397</v>
      </c>
      <c r="B173" s="20" t="s">
        <v>398</v>
      </c>
      <c r="C173" s="19" t="s">
        <v>28</v>
      </c>
      <c r="D173" s="19" t="s">
        <v>29</v>
      </c>
      <c r="E173" s="19" t="s">
        <v>30</v>
      </c>
      <c r="F173" s="19" t="s">
        <v>46</v>
      </c>
      <c r="G173" s="19" t="s">
        <v>126</v>
      </c>
      <c r="H173" s="21">
        <v>1036566.0577777826</v>
      </c>
      <c r="I173" s="22">
        <f>H173*5.6</f>
        <v>5804769.9235555818</v>
      </c>
      <c r="J173" s="23">
        <f>SUM(L173:W173)</f>
        <v>0</v>
      </c>
      <c r="K173" s="24">
        <f>J173*5.6</f>
        <v>0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6"/>
    </row>
    <row r="174" spans="1:24" s="27" customFormat="1" ht="13.5" customHeight="1" x14ac:dyDescent="0.35">
      <c r="A174" s="18" t="s">
        <v>399</v>
      </c>
      <c r="B174" s="20" t="s">
        <v>400</v>
      </c>
      <c r="C174" s="19" t="s">
        <v>28</v>
      </c>
      <c r="D174" s="19" t="s">
        <v>29</v>
      </c>
      <c r="E174" s="19" t="s">
        <v>30</v>
      </c>
      <c r="F174" s="19" t="s">
        <v>46</v>
      </c>
      <c r="G174" s="19" t="s">
        <v>126</v>
      </c>
      <c r="H174" s="21">
        <v>225946.43400000001</v>
      </c>
      <c r="I174" s="22">
        <f>H174*5.6</f>
        <v>1265300.0304</v>
      </c>
      <c r="J174" s="23">
        <f>SUM(L174:W174)</f>
        <v>0</v>
      </c>
      <c r="K174" s="24">
        <f>J174*5.6</f>
        <v>0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6"/>
    </row>
    <row r="175" spans="1:24" s="27" customFormat="1" ht="13.5" customHeight="1" x14ac:dyDescent="0.35">
      <c r="A175" s="18" t="s">
        <v>401</v>
      </c>
      <c r="B175" s="20" t="s">
        <v>402</v>
      </c>
      <c r="C175" s="19" t="s">
        <v>28</v>
      </c>
      <c r="D175" s="19" t="s">
        <v>36</v>
      </c>
      <c r="E175" s="19" t="s">
        <v>37</v>
      </c>
      <c r="F175" s="19" t="s">
        <v>46</v>
      </c>
      <c r="G175" s="19" t="s">
        <v>126</v>
      </c>
      <c r="H175" s="21">
        <v>145441.93060000002</v>
      </c>
      <c r="I175" s="22">
        <f>H175*5.6</f>
        <v>814474.81136000005</v>
      </c>
      <c r="J175" s="23">
        <f>SUM(L175:W175)</f>
        <v>0</v>
      </c>
      <c r="K175" s="24">
        <f>J175*5.6</f>
        <v>0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6"/>
    </row>
    <row r="176" spans="1:24" s="27" customFormat="1" ht="13.5" customHeight="1" x14ac:dyDescent="0.35">
      <c r="A176" s="18" t="s">
        <v>403</v>
      </c>
      <c r="B176" s="20" t="s">
        <v>404</v>
      </c>
      <c r="C176" s="19" t="s">
        <v>28</v>
      </c>
      <c r="D176" s="19" t="s">
        <v>29</v>
      </c>
      <c r="E176" s="19" t="s">
        <v>30</v>
      </c>
      <c r="F176" s="19" t="s">
        <v>46</v>
      </c>
      <c r="G176" s="19" t="s">
        <v>126</v>
      </c>
      <c r="H176" s="21">
        <v>186023.53660000002</v>
      </c>
      <c r="I176" s="22">
        <f>H176*5.6</f>
        <v>1041731.8049600001</v>
      </c>
      <c r="J176" s="23">
        <f>SUM(L176:W176)</f>
        <v>0</v>
      </c>
      <c r="K176" s="24">
        <f>J176*5.6</f>
        <v>0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6"/>
    </row>
    <row r="177" spans="1:24" s="27" customFormat="1" ht="13.5" customHeight="1" x14ac:dyDescent="0.35">
      <c r="A177" s="18" t="s">
        <v>405</v>
      </c>
      <c r="B177" s="20" t="s">
        <v>406</v>
      </c>
      <c r="C177" s="19" t="s">
        <v>28</v>
      </c>
      <c r="D177" s="19" t="s">
        <v>29</v>
      </c>
      <c r="E177" s="19" t="s">
        <v>30</v>
      </c>
      <c r="F177" s="19" t="s">
        <v>46</v>
      </c>
      <c r="G177" s="19" t="s">
        <v>126</v>
      </c>
      <c r="H177" s="21">
        <v>169459.82550000001</v>
      </c>
      <c r="I177" s="22">
        <f>H177*5.6</f>
        <v>948975.02279999992</v>
      </c>
      <c r="J177" s="23">
        <f>SUM(L177:W177)</f>
        <v>0</v>
      </c>
      <c r="K177" s="24">
        <f>J177*5.6</f>
        <v>0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6"/>
    </row>
    <row r="178" spans="1:24" s="27" customFormat="1" ht="13.5" customHeight="1" x14ac:dyDescent="0.35">
      <c r="A178" s="18" t="s">
        <v>407</v>
      </c>
      <c r="B178" s="20" t="s">
        <v>408</v>
      </c>
      <c r="C178" s="19" t="s">
        <v>28</v>
      </c>
      <c r="D178" s="19" t="s">
        <v>29</v>
      </c>
      <c r="E178" s="19" t="s">
        <v>30</v>
      </c>
      <c r="F178" s="19" t="s">
        <v>46</v>
      </c>
      <c r="G178" s="19" t="s">
        <v>126</v>
      </c>
      <c r="H178" s="21">
        <v>93011.768299999996</v>
      </c>
      <c r="I178" s="22">
        <f>H178*5.6</f>
        <v>520865.90247999993</v>
      </c>
      <c r="J178" s="23">
        <f>SUM(L178:W178)</f>
        <v>0</v>
      </c>
      <c r="K178" s="24">
        <f>J178*5.6</f>
        <v>0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6"/>
    </row>
    <row r="179" spans="1:24" s="27" customFormat="1" ht="13.5" customHeight="1" x14ac:dyDescent="0.35">
      <c r="A179" s="18" t="s">
        <v>409</v>
      </c>
      <c r="B179" s="20" t="s">
        <v>410</v>
      </c>
      <c r="C179" s="19" t="s">
        <v>28</v>
      </c>
      <c r="D179" s="19" t="s">
        <v>36</v>
      </c>
      <c r="E179" s="19" t="s">
        <v>37</v>
      </c>
      <c r="F179" s="19" t="s">
        <v>46</v>
      </c>
      <c r="G179" s="19" t="s">
        <v>126</v>
      </c>
      <c r="H179" s="21">
        <v>72720.965299999982</v>
      </c>
      <c r="I179" s="22">
        <f>H179*5.6</f>
        <v>407237.40567999985</v>
      </c>
      <c r="J179" s="23">
        <f>SUM(L179:W179)</f>
        <v>0</v>
      </c>
      <c r="K179" s="24">
        <f>J179*5.6</f>
        <v>0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6"/>
    </row>
    <row r="180" spans="1:24" s="27" customFormat="1" ht="13.5" customHeight="1" x14ac:dyDescent="0.35">
      <c r="A180" s="18" t="s">
        <v>411</v>
      </c>
      <c r="B180" s="20" t="s">
        <v>412</v>
      </c>
      <c r="C180" s="19" t="s">
        <v>413</v>
      </c>
      <c r="D180" s="19" t="s">
        <v>29</v>
      </c>
      <c r="E180" s="19" t="s">
        <v>30</v>
      </c>
      <c r="F180" s="19" t="s">
        <v>31</v>
      </c>
      <c r="G180" s="19" t="s">
        <v>32</v>
      </c>
      <c r="H180" s="21">
        <v>0</v>
      </c>
      <c r="I180" s="22">
        <f>H180*5.6</f>
        <v>0</v>
      </c>
      <c r="J180" s="23">
        <f>SUM(L180:W180)</f>
        <v>0</v>
      </c>
      <c r="K180" s="24">
        <f>J180*5.6</f>
        <v>0</v>
      </c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6"/>
    </row>
    <row r="181" spans="1:24" s="27" customFormat="1" ht="13.5" customHeight="1" x14ac:dyDescent="0.35">
      <c r="A181" s="18" t="s">
        <v>414</v>
      </c>
      <c r="B181" s="20" t="s">
        <v>415</v>
      </c>
      <c r="C181" s="19" t="s">
        <v>129</v>
      </c>
      <c r="D181" s="19" t="s">
        <v>101</v>
      </c>
      <c r="E181" s="19" t="s">
        <v>37</v>
      </c>
      <c r="F181" s="19" t="s">
        <v>31</v>
      </c>
      <c r="G181" s="19" t="s">
        <v>32</v>
      </c>
      <c r="H181" s="21">
        <v>10908.31238839286</v>
      </c>
      <c r="I181" s="22">
        <f>H181*5.6</f>
        <v>61086.54937500001</v>
      </c>
      <c r="J181" s="23">
        <f>SUM(L181:W181)</f>
        <v>0</v>
      </c>
      <c r="K181" s="24">
        <f>J181*5.6</f>
        <v>0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6"/>
    </row>
    <row r="182" spans="1:24" s="27" customFormat="1" ht="13.5" customHeight="1" x14ac:dyDescent="0.35">
      <c r="A182" s="18" t="s">
        <v>416</v>
      </c>
      <c r="B182" s="20" t="s">
        <v>417</v>
      </c>
      <c r="C182" s="19" t="s">
        <v>28</v>
      </c>
      <c r="D182" s="19" t="s">
        <v>29</v>
      </c>
      <c r="E182" s="19" t="s">
        <v>30</v>
      </c>
      <c r="F182" s="19" t="s">
        <v>31</v>
      </c>
      <c r="G182" s="19" t="s">
        <v>38</v>
      </c>
      <c r="H182" s="21">
        <v>410780</v>
      </c>
      <c r="I182" s="22">
        <f>H182*5.6</f>
        <v>2300368</v>
      </c>
      <c r="J182" s="23">
        <f>SUM(L182:W182)</f>
        <v>0</v>
      </c>
      <c r="K182" s="24">
        <f>J182*5.6</f>
        <v>0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6"/>
    </row>
    <row r="183" spans="1:24" s="27" customFormat="1" ht="13.5" customHeight="1" x14ac:dyDescent="0.35">
      <c r="A183" s="18" t="s">
        <v>418</v>
      </c>
      <c r="B183" s="20" t="s">
        <v>419</v>
      </c>
      <c r="C183" s="19" t="s">
        <v>129</v>
      </c>
      <c r="D183" s="19" t="s">
        <v>101</v>
      </c>
      <c r="E183" s="19" t="s">
        <v>37</v>
      </c>
      <c r="F183" s="19" t="s">
        <v>31</v>
      </c>
      <c r="G183" s="19" t="s">
        <v>32</v>
      </c>
      <c r="H183" s="21">
        <v>37849.21875</v>
      </c>
      <c r="I183" s="22">
        <f>H183*5.6</f>
        <v>211955.625</v>
      </c>
      <c r="J183" s="23">
        <f>SUM(L183:W183)</f>
        <v>0</v>
      </c>
      <c r="K183" s="24">
        <f>J183*5.6</f>
        <v>0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6"/>
    </row>
    <row r="184" spans="1:24" s="27" customFormat="1" ht="13.5" customHeight="1" x14ac:dyDescent="0.35">
      <c r="A184" s="18" t="s">
        <v>420</v>
      </c>
      <c r="B184" s="20" t="s">
        <v>421</v>
      </c>
      <c r="C184" s="19" t="s">
        <v>129</v>
      </c>
      <c r="D184" s="19" t="s">
        <v>101</v>
      </c>
      <c r="E184" s="19" t="s">
        <v>37</v>
      </c>
      <c r="F184" s="19" t="s">
        <v>31</v>
      </c>
      <c r="G184" s="19" t="s">
        <v>32</v>
      </c>
      <c r="H184" s="21">
        <v>9211.8957678571442</v>
      </c>
      <c r="I184" s="22">
        <f>H184*5.6</f>
        <v>51586.616300000002</v>
      </c>
      <c r="J184" s="23">
        <f>SUM(L184:W184)</f>
        <v>0</v>
      </c>
      <c r="K184" s="24">
        <f>J184*5.6</f>
        <v>0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6"/>
    </row>
    <row r="185" spans="1:24" s="27" customFormat="1" ht="13.5" customHeight="1" x14ac:dyDescent="0.35">
      <c r="A185" s="18" t="s">
        <v>422</v>
      </c>
      <c r="B185" s="20" t="s">
        <v>423</v>
      </c>
      <c r="C185" s="19" t="s">
        <v>28</v>
      </c>
      <c r="D185" s="19" t="s">
        <v>29</v>
      </c>
      <c r="E185" s="19" t="s">
        <v>30</v>
      </c>
      <c r="F185" s="19" t="s">
        <v>31</v>
      </c>
      <c r="G185" s="19" t="s">
        <v>38</v>
      </c>
      <c r="H185" s="21">
        <v>517315.00000000006</v>
      </c>
      <c r="I185" s="22">
        <f>H185*5.6</f>
        <v>2896964</v>
      </c>
      <c r="J185" s="23">
        <f>SUM(L185:W185)</f>
        <v>0</v>
      </c>
      <c r="K185" s="24">
        <f>J185*5.6</f>
        <v>0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6"/>
    </row>
    <row r="186" spans="1:24" s="27" customFormat="1" ht="13.5" customHeight="1" x14ac:dyDescent="0.35">
      <c r="A186" s="18" t="s">
        <v>424</v>
      </c>
      <c r="B186" s="20" t="s">
        <v>425</v>
      </c>
      <c r="C186" s="19" t="s">
        <v>28</v>
      </c>
      <c r="D186" s="19" t="s">
        <v>29</v>
      </c>
      <c r="E186" s="19" t="s">
        <v>30</v>
      </c>
      <c r="F186" s="19" t="s">
        <v>31</v>
      </c>
      <c r="G186" s="19" t="s">
        <v>38</v>
      </c>
      <c r="H186" s="21">
        <v>1088143.2577049192</v>
      </c>
      <c r="I186" s="22">
        <f>H186*5.6</f>
        <v>6093602.2431475474</v>
      </c>
      <c r="J186" s="23">
        <f>SUM(L186:W186)</f>
        <v>0</v>
      </c>
      <c r="K186" s="24">
        <f>J186*5.6</f>
        <v>0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6"/>
    </row>
    <row r="187" spans="1:24" s="27" customFormat="1" ht="13.5" customHeight="1" x14ac:dyDescent="0.35">
      <c r="A187" s="18" t="s">
        <v>426</v>
      </c>
      <c r="B187" s="20" t="s">
        <v>427</v>
      </c>
      <c r="C187" s="19" t="s">
        <v>428</v>
      </c>
      <c r="D187" s="19" t="s">
        <v>50</v>
      </c>
      <c r="E187" s="19" t="s">
        <v>30</v>
      </c>
      <c r="F187" s="19" t="s">
        <v>31</v>
      </c>
      <c r="G187" s="19" t="s">
        <v>32</v>
      </c>
      <c r="H187" s="21">
        <v>0</v>
      </c>
      <c r="I187" s="22">
        <f>H187*5.6</f>
        <v>0</v>
      </c>
      <c r="J187" s="23">
        <f>SUM(L187:W187)</f>
        <v>0</v>
      </c>
      <c r="K187" s="24">
        <f>J187*5.6</f>
        <v>0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6"/>
    </row>
    <row r="188" spans="1:24" s="27" customFormat="1" ht="13.5" customHeight="1" x14ac:dyDescent="0.35">
      <c r="A188" s="18" t="s">
        <v>429</v>
      </c>
      <c r="B188" s="20" t="s">
        <v>430</v>
      </c>
      <c r="C188" s="19" t="s">
        <v>129</v>
      </c>
      <c r="D188" s="19" t="s">
        <v>101</v>
      </c>
      <c r="E188" s="19" t="s">
        <v>37</v>
      </c>
      <c r="F188" s="19" t="s">
        <v>31</v>
      </c>
      <c r="G188" s="19" t="s">
        <v>38</v>
      </c>
      <c r="H188" s="21">
        <v>44576.958364955353</v>
      </c>
      <c r="I188" s="22">
        <f>H188*5.6</f>
        <v>249630.96684374995</v>
      </c>
      <c r="J188" s="23">
        <f>SUM(L188:W188)</f>
        <v>0</v>
      </c>
      <c r="K188" s="24">
        <f>J188*5.6</f>
        <v>0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6"/>
    </row>
    <row r="189" spans="1:24" s="27" customFormat="1" ht="13.5" customHeight="1" x14ac:dyDescent="0.35">
      <c r="A189" s="18" t="s">
        <v>431</v>
      </c>
      <c r="B189" s="20" t="s">
        <v>432</v>
      </c>
      <c r="C189" s="19" t="s">
        <v>129</v>
      </c>
      <c r="D189" s="19" t="s">
        <v>101</v>
      </c>
      <c r="E189" s="19" t="s">
        <v>37</v>
      </c>
      <c r="F189" s="19" t="s">
        <v>31</v>
      </c>
      <c r="G189" s="19" t="s">
        <v>38</v>
      </c>
      <c r="H189" s="21">
        <v>8997.439821428572</v>
      </c>
      <c r="I189" s="22">
        <f>H189*5.6</f>
        <v>50385.663</v>
      </c>
      <c r="J189" s="23">
        <f>SUM(L189:W189)</f>
        <v>0</v>
      </c>
      <c r="K189" s="24">
        <f>J189*5.6</f>
        <v>0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6"/>
    </row>
    <row r="190" spans="1:24" s="27" customFormat="1" ht="13.5" customHeight="1" x14ac:dyDescent="0.35">
      <c r="A190" s="18" t="s">
        <v>433</v>
      </c>
      <c r="B190" s="20" t="s">
        <v>434</v>
      </c>
      <c r="C190" s="19" t="s">
        <v>260</v>
      </c>
      <c r="D190" s="19" t="s">
        <v>101</v>
      </c>
      <c r="E190" s="19" t="s">
        <v>37</v>
      </c>
      <c r="F190" s="19" t="s">
        <v>31</v>
      </c>
      <c r="G190" s="19" t="s">
        <v>32</v>
      </c>
      <c r="H190" s="21">
        <v>15166.717264285717</v>
      </c>
      <c r="I190" s="22">
        <f>H190*5.6</f>
        <v>84933.616680000006</v>
      </c>
      <c r="J190" s="23">
        <f>SUM(L190:W190)</f>
        <v>0</v>
      </c>
      <c r="K190" s="24">
        <f>J190*5.6</f>
        <v>0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6"/>
    </row>
    <row r="191" spans="1:24" s="27" customFormat="1" ht="13.5" customHeight="1" x14ac:dyDescent="0.35">
      <c r="A191" s="18" t="s">
        <v>435</v>
      </c>
      <c r="B191" s="20" t="s">
        <v>436</v>
      </c>
      <c r="C191" s="19" t="s">
        <v>260</v>
      </c>
      <c r="D191" s="19" t="s">
        <v>101</v>
      </c>
      <c r="E191" s="19" t="s">
        <v>37</v>
      </c>
      <c r="F191" s="19" t="s">
        <v>31</v>
      </c>
      <c r="G191" s="19" t="s">
        <v>32</v>
      </c>
      <c r="H191" s="21">
        <v>65510.682589285723</v>
      </c>
      <c r="I191" s="22">
        <f>H191*5.6</f>
        <v>366859.82250000001</v>
      </c>
      <c r="J191" s="23">
        <f>SUM(L191:W191)</f>
        <v>0</v>
      </c>
      <c r="K191" s="24">
        <f>J191*5.6</f>
        <v>0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6"/>
    </row>
    <row r="192" spans="1:24" s="27" customFormat="1" ht="13.5" customHeight="1" x14ac:dyDescent="0.35">
      <c r="A192" s="18" t="s">
        <v>437</v>
      </c>
      <c r="B192" s="20" t="s">
        <v>438</v>
      </c>
      <c r="C192" s="19" t="s">
        <v>260</v>
      </c>
      <c r="D192" s="19" t="s">
        <v>101</v>
      </c>
      <c r="E192" s="19" t="s">
        <v>37</v>
      </c>
      <c r="F192" s="19" t="s">
        <v>31</v>
      </c>
      <c r="G192" s="19" t="s">
        <v>32</v>
      </c>
      <c r="H192" s="21">
        <v>15376.428571428574</v>
      </c>
      <c r="I192" s="22">
        <f>H192*5.6</f>
        <v>86108.000000000015</v>
      </c>
      <c r="J192" s="23">
        <f>SUM(L192:W192)</f>
        <v>0</v>
      </c>
      <c r="K192" s="24">
        <f>J192*5.6</f>
        <v>0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6"/>
    </row>
    <row r="193" spans="1:24" s="27" customFormat="1" ht="13.5" customHeight="1" x14ac:dyDescent="0.35">
      <c r="A193" s="18" t="s">
        <v>439</v>
      </c>
      <c r="B193" s="20" t="s">
        <v>440</v>
      </c>
      <c r="C193" s="19" t="s">
        <v>260</v>
      </c>
      <c r="D193" s="19" t="s">
        <v>101</v>
      </c>
      <c r="E193" s="19" t="s">
        <v>37</v>
      </c>
      <c r="F193" s="19" t="s">
        <v>31</v>
      </c>
      <c r="G193" s="19" t="s">
        <v>32</v>
      </c>
      <c r="H193" s="21">
        <v>25781.939732142855</v>
      </c>
      <c r="I193" s="22">
        <f>H193*5.6</f>
        <v>144378.86249999999</v>
      </c>
      <c r="J193" s="23">
        <f>SUM(L193:W193)</f>
        <v>0</v>
      </c>
      <c r="K193" s="24">
        <f>J193*5.6</f>
        <v>0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6"/>
    </row>
    <row r="194" spans="1:24" s="27" customFormat="1" ht="13.5" customHeight="1" x14ac:dyDescent="0.35">
      <c r="A194" s="18" t="s">
        <v>441</v>
      </c>
      <c r="B194" s="20" t="s">
        <v>442</v>
      </c>
      <c r="C194" s="19" t="s">
        <v>260</v>
      </c>
      <c r="D194" s="19" t="s">
        <v>101</v>
      </c>
      <c r="E194" s="19" t="s">
        <v>37</v>
      </c>
      <c r="F194" s="19" t="s">
        <v>31</v>
      </c>
      <c r="G194" s="19" t="s">
        <v>32</v>
      </c>
      <c r="H194" s="21">
        <v>0</v>
      </c>
      <c r="I194" s="22">
        <f>H194*5.6</f>
        <v>0</v>
      </c>
      <c r="J194" s="23">
        <f>SUM(L194:W194)</f>
        <v>0</v>
      </c>
      <c r="K194" s="24">
        <f>J194*5.6</f>
        <v>0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6"/>
    </row>
    <row r="195" spans="1:24" s="27" customFormat="1" ht="13.5" customHeight="1" x14ac:dyDescent="0.35">
      <c r="A195" s="18" t="s">
        <v>443</v>
      </c>
      <c r="B195" s="20" t="s">
        <v>444</v>
      </c>
      <c r="C195" s="19" t="s">
        <v>129</v>
      </c>
      <c r="D195" s="19" t="s">
        <v>101</v>
      </c>
      <c r="E195" s="19" t="s">
        <v>37</v>
      </c>
      <c r="F195" s="19" t="s">
        <v>31</v>
      </c>
      <c r="G195" s="19" t="s">
        <v>38</v>
      </c>
      <c r="H195" s="21">
        <v>0</v>
      </c>
      <c r="I195" s="22">
        <f>H195*5.6</f>
        <v>0</v>
      </c>
      <c r="J195" s="23">
        <f>SUM(L195:W195)</f>
        <v>0</v>
      </c>
      <c r="K195" s="24">
        <f>J195*5.6</f>
        <v>0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6"/>
    </row>
    <row r="196" spans="1:24" s="27" customFormat="1" ht="13.5" customHeight="1" x14ac:dyDescent="0.35">
      <c r="A196" s="18" t="s">
        <v>445</v>
      </c>
      <c r="B196" s="20" t="s">
        <v>446</v>
      </c>
      <c r="C196" s="19" t="s">
        <v>159</v>
      </c>
      <c r="D196" s="19" t="s">
        <v>50</v>
      </c>
      <c r="E196" s="19" t="s">
        <v>30</v>
      </c>
      <c r="F196" s="19" t="s">
        <v>31</v>
      </c>
      <c r="G196" s="19" t="s">
        <v>32</v>
      </c>
      <c r="H196" s="21">
        <v>157142.85714285716</v>
      </c>
      <c r="I196" s="22">
        <f>H196*5.6</f>
        <v>880000</v>
      </c>
      <c r="J196" s="23">
        <f>SUM(L196:W196)</f>
        <v>0</v>
      </c>
      <c r="K196" s="24">
        <f>J196*5.6</f>
        <v>0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6"/>
    </row>
    <row r="197" spans="1:24" s="27" customFormat="1" ht="13.5" customHeight="1" x14ac:dyDescent="0.35">
      <c r="A197" s="18" t="s">
        <v>447</v>
      </c>
      <c r="B197" s="20" t="s">
        <v>448</v>
      </c>
      <c r="C197" s="19" t="s">
        <v>159</v>
      </c>
      <c r="D197" s="19" t="s">
        <v>50</v>
      </c>
      <c r="E197" s="19" t="s">
        <v>30</v>
      </c>
      <c r="F197" s="19" t="s">
        <v>31</v>
      </c>
      <c r="G197" s="19" t="s">
        <v>32</v>
      </c>
      <c r="H197" s="21">
        <v>700000</v>
      </c>
      <c r="I197" s="22">
        <f>H197*5.6</f>
        <v>3919999.9999999995</v>
      </c>
      <c r="J197" s="23">
        <f>SUM(L197:W197)</f>
        <v>0</v>
      </c>
      <c r="K197" s="24">
        <f>J197*5.6</f>
        <v>0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6"/>
    </row>
    <row r="198" spans="1:24" s="27" customFormat="1" ht="13.5" customHeight="1" x14ac:dyDescent="0.35">
      <c r="A198" s="18" t="s">
        <v>451</v>
      </c>
      <c r="B198" s="20" t="s">
        <v>452</v>
      </c>
      <c r="C198" s="19" t="s">
        <v>159</v>
      </c>
      <c r="D198" s="19" t="s">
        <v>50</v>
      </c>
      <c r="E198" s="19" t="s">
        <v>30</v>
      </c>
      <c r="F198" s="19" t="s">
        <v>31</v>
      </c>
      <c r="G198" s="19" t="s">
        <v>32</v>
      </c>
      <c r="H198" s="21">
        <v>159107.14285714287</v>
      </c>
      <c r="I198" s="22">
        <f>H198*5.6</f>
        <v>891000</v>
      </c>
      <c r="J198" s="23">
        <f>SUM(L198:W198)</f>
        <v>0</v>
      </c>
      <c r="K198" s="24">
        <f>J198*5.6</f>
        <v>0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6"/>
    </row>
    <row r="199" spans="1:24" s="27" customFormat="1" ht="13.5" customHeight="1" x14ac:dyDescent="0.35">
      <c r="A199" s="18" t="s">
        <v>453</v>
      </c>
      <c r="B199" s="20" t="s">
        <v>454</v>
      </c>
      <c r="C199" s="19" t="s">
        <v>455</v>
      </c>
      <c r="D199" s="19" t="s">
        <v>28</v>
      </c>
      <c r="E199" s="19" t="s">
        <v>28</v>
      </c>
      <c r="F199" s="19" t="s">
        <v>31</v>
      </c>
      <c r="G199" s="19" t="s">
        <v>38</v>
      </c>
      <c r="H199" s="21">
        <v>50000</v>
      </c>
      <c r="I199" s="22">
        <f>H199*5.6</f>
        <v>280000</v>
      </c>
      <c r="J199" s="23">
        <f>SUM(L199:W199)</f>
        <v>0</v>
      </c>
      <c r="K199" s="24">
        <f>J199*5.6</f>
        <v>0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6"/>
    </row>
    <row r="200" spans="1:24" s="27" customFormat="1" ht="13.5" customHeight="1" x14ac:dyDescent="0.35">
      <c r="A200" s="18" t="s">
        <v>456</v>
      </c>
      <c r="B200" s="20" t="s">
        <v>457</v>
      </c>
      <c r="C200" s="19" t="s">
        <v>458</v>
      </c>
      <c r="D200" s="19" t="s">
        <v>101</v>
      </c>
      <c r="E200" s="19" t="s">
        <v>37</v>
      </c>
      <c r="F200" s="19" t="s">
        <v>31</v>
      </c>
      <c r="G200" s="19" t="s">
        <v>32</v>
      </c>
      <c r="H200" s="21">
        <v>27536.55</v>
      </c>
      <c r="I200" s="22">
        <f>H200*5.6</f>
        <v>154204.68</v>
      </c>
      <c r="J200" s="23">
        <f>SUM(L200:W200)</f>
        <v>0</v>
      </c>
      <c r="K200" s="24">
        <f>J200*5.6</f>
        <v>0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6"/>
    </row>
    <row r="201" spans="1:24" s="27" customFormat="1" ht="13.5" customHeight="1" x14ac:dyDescent="0.35">
      <c r="A201" s="18" t="s">
        <v>459</v>
      </c>
      <c r="B201" s="20" t="s">
        <v>460</v>
      </c>
      <c r="C201" s="19" t="s">
        <v>458</v>
      </c>
      <c r="D201" s="19" t="s">
        <v>101</v>
      </c>
      <c r="E201" s="19" t="s">
        <v>37</v>
      </c>
      <c r="F201" s="19" t="s">
        <v>31</v>
      </c>
      <c r="G201" s="19" t="s">
        <v>32</v>
      </c>
      <c r="H201" s="21">
        <v>16658.868279575894</v>
      </c>
      <c r="I201" s="22">
        <f>H201*5.6</f>
        <v>93289.662365625001</v>
      </c>
      <c r="J201" s="23">
        <f>SUM(L201:W201)</f>
        <v>0</v>
      </c>
      <c r="K201" s="24">
        <f>J201*5.6</f>
        <v>0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6"/>
    </row>
    <row r="202" spans="1:24" s="27" customFormat="1" ht="13.5" customHeight="1" x14ac:dyDescent="0.35">
      <c r="A202" s="18" t="s">
        <v>461</v>
      </c>
      <c r="B202" s="20" t="s">
        <v>462</v>
      </c>
      <c r="C202" s="19" t="s">
        <v>458</v>
      </c>
      <c r="D202" s="19" t="s">
        <v>101</v>
      </c>
      <c r="E202" s="19" t="s">
        <v>37</v>
      </c>
      <c r="F202" s="19" t="s">
        <v>31</v>
      </c>
      <c r="G202" s="19" t="s">
        <v>32</v>
      </c>
      <c r="H202" s="21">
        <v>8354.4144006696442</v>
      </c>
      <c r="I202" s="22">
        <f>H202*5.6</f>
        <v>46784.720643750006</v>
      </c>
      <c r="J202" s="23">
        <f>SUM(L202:W202)</f>
        <v>0</v>
      </c>
      <c r="K202" s="24">
        <f>J202*5.6</f>
        <v>0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6"/>
    </row>
    <row r="203" spans="1:24" s="27" customFormat="1" ht="13.5" customHeight="1" x14ac:dyDescent="0.35">
      <c r="A203" s="18" t="s">
        <v>467</v>
      </c>
      <c r="B203" s="20" t="s">
        <v>468</v>
      </c>
      <c r="C203" s="19" t="s">
        <v>455</v>
      </c>
      <c r="D203" s="19" t="s">
        <v>28</v>
      </c>
      <c r="E203" s="19" t="s">
        <v>28</v>
      </c>
      <c r="F203" s="19" t="s">
        <v>31</v>
      </c>
      <c r="G203" s="19" t="s">
        <v>38</v>
      </c>
      <c r="H203" s="21">
        <v>20000</v>
      </c>
      <c r="I203" s="22">
        <f>H203*5.6</f>
        <v>112000</v>
      </c>
      <c r="J203" s="23">
        <f>SUM(L203:W203)</f>
        <v>0</v>
      </c>
      <c r="K203" s="24">
        <f>J203*5.6</f>
        <v>0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6"/>
    </row>
    <row r="204" spans="1:24" s="27" customFormat="1" ht="13.5" customHeight="1" x14ac:dyDescent="0.35">
      <c r="A204" s="18" t="s">
        <v>469</v>
      </c>
      <c r="B204" s="20" t="s">
        <v>470</v>
      </c>
      <c r="C204" s="19" t="s">
        <v>159</v>
      </c>
      <c r="D204" s="19" t="s">
        <v>50</v>
      </c>
      <c r="E204" s="19" t="s">
        <v>30</v>
      </c>
      <c r="F204" s="19" t="s">
        <v>31</v>
      </c>
      <c r="G204" s="19" t="s">
        <v>38</v>
      </c>
      <c r="H204" s="21">
        <v>1307142.8571428573</v>
      </c>
      <c r="I204" s="22">
        <f>H204*5.6</f>
        <v>7320000</v>
      </c>
      <c r="J204" s="23">
        <f>SUM(L204:W204)</f>
        <v>0</v>
      </c>
      <c r="K204" s="24">
        <f>J204*5.6</f>
        <v>0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6"/>
    </row>
    <row r="205" spans="1:24" s="27" customFormat="1" ht="13.5" customHeight="1" x14ac:dyDescent="0.35">
      <c r="A205" s="18" t="s">
        <v>471</v>
      </c>
      <c r="B205" s="20" t="s">
        <v>472</v>
      </c>
      <c r="C205" s="19" t="s">
        <v>35</v>
      </c>
      <c r="D205" s="19" t="s">
        <v>36</v>
      </c>
      <c r="E205" s="19" t="s">
        <v>37</v>
      </c>
      <c r="F205" s="19" t="s">
        <v>31</v>
      </c>
      <c r="G205" s="19" t="s">
        <v>32</v>
      </c>
      <c r="H205" s="21">
        <v>0</v>
      </c>
      <c r="I205" s="22">
        <f>H205*5.6</f>
        <v>0</v>
      </c>
      <c r="J205" s="23">
        <f>SUM(L205:W205)</f>
        <v>0</v>
      </c>
      <c r="K205" s="24">
        <f>J205*5.6</f>
        <v>0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6"/>
    </row>
    <row r="206" spans="1:24" s="27" customFormat="1" ht="13.5" customHeight="1" x14ac:dyDescent="0.35">
      <c r="A206" s="18" t="s">
        <v>473</v>
      </c>
      <c r="B206" s="20" t="s">
        <v>474</v>
      </c>
      <c r="C206" s="19" t="s">
        <v>475</v>
      </c>
      <c r="D206" s="19" t="s">
        <v>101</v>
      </c>
      <c r="E206" s="19" t="s">
        <v>37</v>
      </c>
      <c r="F206" s="19" t="s">
        <v>31</v>
      </c>
      <c r="G206" s="19" t="s">
        <v>32</v>
      </c>
      <c r="H206" s="21">
        <v>40866.107142857145</v>
      </c>
      <c r="I206" s="22">
        <f>H206*5.6</f>
        <v>228850.2</v>
      </c>
      <c r="J206" s="23">
        <f>SUM(L206:W206)</f>
        <v>0</v>
      </c>
      <c r="K206" s="24">
        <f>J206*5.6</f>
        <v>0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6"/>
    </row>
    <row r="207" spans="1:24" s="27" customFormat="1" ht="13.5" customHeight="1" x14ac:dyDescent="0.35">
      <c r="A207" s="18" t="s">
        <v>476</v>
      </c>
      <c r="B207" s="20" t="s">
        <v>477</v>
      </c>
      <c r="C207" s="19" t="s">
        <v>475</v>
      </c>
      <c r="D207" s="19" t="s">
        <v>101</v>
      </c>
      <c r="E207" s="19" t="s">
        <v>37</v>
      </c>
      <c r="F207" s="19" t="s">
        <v>31</v>
      </c>
      <c r="G207" s="19" t="s">
        <v>32</v>
      </c>
      <c r="H207" s="21">
        <v>23874.069999999901</v>
      </c>
      <c r="I207" s="22">
        <f>H207*5.6</f>
        <v>133694.79199999943</v>
      </c>
      <c r="J207" s="23">
        <f>SUM(L207:W207)</f>
        <v>0</v>
      </c>
      <c r="K207" s="24">
        <f>J207*5.6</f>
        <v>0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6"/>
    </row>
    <row r="208" spans="1:24" s="27" customFormat="1" ht="13.5" customHeight="1" x14ac:dyDescent="0.35">
      <c r="A208" s="18" t="s">
        <v>480</v>
      </c>
      <c r="B208" s="20" t="s">
        <v>481</v>
      </c>
      <c r="C208" s="19" t="s">
        <v>475</v>
      </c>
      <c r="D208" s="19" t="s">
        <v>101</v>
      </c>
      <c r="E208" s="19" t="s">
        <v>37</v>
      </c>
      <c r="F208" s="19" t="s">
        <v>31</v>
      </c>
      <c r="G208" s="19" t="s">
        <v>32</v>
      </c>
      <c r="H208" s="21">
        <v>9068.6116071428587</v>
      </c>
      <c r="I208" s="22">
        <f>H208*5.6</f>
        <v>50784.225000000006</v>
      </c>
      <c r="J208" s="23">
        <f>SUM(L208:W208)</f>
        <v>0</v>
      </c>
      <c r="K208" s="24">
        <f>J208*5.6</f>
        <v>0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6"/>
    </row>
    <row r="209" spans="1:24" s="27" customFormat="1" ht="13.5" customHeight="1" x14ac:dyDescent="0.35">
      <c r="A209" s="18" t="s">
        <v>482</v>
      </c>
      <c r="B209" s="20" t="s">
        <v>483</v>
      </c>
      <c r="C209" s="19" t="s">
        <v>475</v>
      </c>
      <c r="D209" s="19" t="s">
        <v>101</v>
      </c>
      <c r="E209" s="19" t="s">
        <v>37</v>
      </c>
      <c r="F209" s="19" t="s">
        <v>31</v>
      </c>
      <c r="G209" s="19" t="s">
        <v>32</v>
      </c>
      <c r="H209" s="21">
        <v>39814.238169642864</v>
      </c>
      <c r="I209" s="22">
        <f>H209*5.6</f>
        <v>222959.73375000001</v>
      </c>
      <c r="J209" s="23">
        <f>SUM(L209:W209)</f>
        <v>0</v>
      </c>
      <c r="K209" s="24">
        <f>J209*5.6</f>
        <v>0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6"/>
    </row>
    <row r="210" spans="1:24" s="27" customFormat="1" ht="13.5" customHeight="1" x14ac:dyDescent="0.35">
      <c r="A210" s="18" t="s">
        <v>484</v>
      </c>
      <c r="B210" s="20" t="s">
        <v>485</v>
      </c>
      <c r="C210" s="19" t="s">
        <v>475</v>
      </c>
      <c r="D210" s="19" t="s">
        <v>101</v>
      </c>
      <c r="E210" s="19" t="s">
        <v>37</v>
      </c>
      <c r="F210" s="19" t="s">
        <v>31</v>
      </c>
      <c r="G210" s="19" t="s">
        <v>32</v>
      </c>
      <c r="H210" s="21">
        <v>8151.9147321428572</v>
      </c>
      <c r="I210" s="22">
        <f>H210*5.6</f>
        <v>45650.722499999996</v>
      </c>
      <c r="J210" s="23">
        <f>SUM(L210:W210)</f>
        <v>0</v>
      </c>
      <c r="K210" s="24">
        <f>J210*5.6</f>
        <v>0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6"/>
    </row>
    <row r="211" spans="1:24" s="27" customFormat="1" ht="13.5" customHeight="1" x14ac:dyDescent="0.35">
      <c r="A211" s="18" t="s">
        <v>486</v>
      </c>
      <c r="B211" s="20" t="s">
        <v>487</v>
      </c>
      <c r="C211" s="19" t="s">
        <v>475</v>
      </c>
      <c r="D211" s="19" t="s">
        <v>101</v>
      </c>
      <c r="E211" s="19" t="s">
        <v>37</v>
      </c>
      <c r="F211" s="19" t="s">
        <v>31</v>
      </c>
      <c r="G211" s="19" t="s">
        <v>32</v>
      </c>
      <c r="H211" s="21">
        <v>27548.703080357147</v>
      </c>
      <c r="I211" s="22">
        <f>H211*5.6</f>
        <v>154272.73725000001</v>
      </c>
      <c r="J211" s="23">
        <f>SUM(L211:W211)</f>
        <v>0</v>
      </c>
      <c r="K211" s="24">
        <f>J211*5.6</f>
        <v>0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6"/>
    </row>
    <row r="212" spans="1:24" s="27" customFormat="1" ht="13.5" customHeight="1" x14ac:dyDescent="0.35">
      <c r="A212" s="18" t="s">
        <v>488</v>
      </c>
      <c r="B212" s="20" t="s">
        <v>489</v>
      </c>
      <c r="C212" s="19" t="s">
        <v>490</v>
      </c>
      <c r="D212" s="19" t="s">
        <v>60</v>
      </c>
      <c r="E212" s="19" t="s">
        <v>30</v>
      </c>
      <c r="F212" s="19" t="s">
        <v>31</v>
      </c>
      <c r="G212" s="19" t="s">
        <v>32</v>
      </c>
      <c r="H212" s="21">
        <v>135285.71428571429</v>
      </c>
      <c r="I212" s="22">
        <f>H212*5.6</f>
        <v>757600</v>
      </c>
      <c r="J212" s="23">
        <f>SUM(L212:W212)</f>
        <v>0</v>
      </c>
      <c r="K212" s="24">
        <f>J212*5.6</f>
        <v>0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6"/>
    </row>
    <row r="213" spans="1:24" s="27" customFormat="1" ht="13.5" customHeight="1" x14ac:dyDescent="0.35">
      <c r="A213" s="18" t="s">
        <v>491</v>
      </c>
      <c r="B213" s="20" t="s">
        <v>492</v>
      </c>
      <c r="C213" s="19" t="s">
        <v>490</v>
      </c>
      <c r="D213" s="19" t="s">
        <v>60</v>
      </c>
      <c r="E213" s="19" t="s">
        <v>30</v>
      </c>
      <c r="F213" s="19" t="s">
        <v>31</v>
      </c>
      <c r="G213" s="19" t="s">
        <v>32</v>
      </c>
      <c r="H213" s="21">
        <v>7142.8571428571431</v>
      </c>
      <c r="I213" s="22">
        <f>H213*5.6</f>
        <v>40000</v>
      </c>
      <c r="J213" s="23">
        <f>SUM(L213:W213)</f>
        <v>0</v>
      </c>
      <c r="K213" s="24">
        <f>J213*5.6</f>
        <v>0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6"/>
    </row>
    <row r="214" spans="1:24" s="27" customFormat="1" ht="13.5" customHeight="1" x14ac:dyDescent="0.35">
      <c r="A214" s="18" t="s">
        <v>493</v>
      </c>
      <c r="B214" s="20" t="s">
        <v>494</v>
      </c>
      <c r="C214" s="19" t="s">
        <v>186</v>
      </c>
      <c r="D214" s="19" t="s">
        <v>36</v>
      </c>
      <c r="E214" s="19" t="s">
        <v>37</v>
      </c>
      <c r="F214" s="19" t="s">
        <v>31</v>
      </c>
      <c r="G214" s="19" t="s">
        <v>32</v>
      </c>
      <c r="H214" s="21">
        <v>119212.50000000001</v>
      </c>
      <c r="I214" s="22">
        <f>H214*5.6</f>
        <v>667590</v>
      </c>
      <c r="J214" s="23">
        <f>SUM(L214:W214)</f>
        <v>0</v>
      </c>
      <c r="K214" s="24">
        <f>J214*5.6</f>
        <v>0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6"/>
    </row>
    <row r="215" spans="1:24" s="27" customFormat="1" ht="13.5" customHeight="1" x14ac:dyDescent="0.35">
      <c r="A215" s="18" t="s">
        <v>495</v>
      </c>
      <c r="B215" s="20" t="s">
        <v>496</v>
      </c>
      <c r="C215" s="19" t="s">
        <v>475</v>
      </c>
      <c r="D215" s="19" t="s">
        <v>101</v>
      </c>
      <c r="E215" s="19" t="s">
        <v>37</v>
      </c>
      <c r="F215" s="19" t="s">
        <v>31</v>
      </c>
      <c r="G215" s="19" t="s">
        <v>38</v>
      </c>
      <c r="H215" s="21">
        <v>129750.47836232143</v>
      </c>
      <c r="I215" s="22">
        <f>H215*5.6</f>
        <v>726602.67882899998</v>
      </c>
      <c r="J215" s="23">
        <f>SUM(L215:W215)</f>
        <v>0</v>
      </c>
      <c r="K215" s="24">
        <f>J215*5.6</f>
        <v>0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6"/>
    </row>
    <row r="216" spans="1:24" s="27" customFormat="1" ht="13.5" customHeight="1" x14ac:dyDescent="0.35">
      <c r="A216" s="18" t="s">
        <v>497</v>
      </c>
      <c r="B216" s="20" t="s">
        <v>498</v>
      </c>
      <c r="C216" s="19" t="s">
        <v>186</v>
      </c>
      <c r="D216" s="19" t="s">
        <v>36</v>
      </c>
      <c r="E216" s="19" t="s">
        <v>37</v>
      </c>
      <c r="F216" s="19" t="s">
        <v>31</v>
      </c>
      <c r="G216" s="19" t="s">
        <v>38</v>
      </c>
      <c r="H216" s="21">
        <v>113883.00000000001</v>
      </c>
      <c r="I216" s="22">
        <f>H216*5.6</f>
        <v>637744.80000000005</v>
      </c>
      <c r="J216" s="23">
        <f>SUM(L216:W216)</f>
        <v>0</v>
      </c>
      <c r="K216" s="24">
        <f>J216*5.6</f>
        <v>0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6"/>
    </row>
    <row r="217" spans="1:24" s="27" customFormat="1" ht="13.5" customHeight="1" x14ac:dyDescent="0.35">
      <c r="A217" s="18" t="s">
        <v>499</v>
      </c>
      <c r="B217" s="20" t="s">
        <v>500</v>
      </c>
      <c r="C217" s="19" t="s">
        <v>186</v>
      </c>
      <c r="D217" s="19" t="s">
        <v>36</v>
      </c>
      <c r="E217" s="19" t="s">
        <v>37</v>
      </c>
      <c r="F217" s="19" t="s">
        <v>31</v>
      </c>
      <c r="G217" s="19" t="s">
        <v>32</v>
      </c>
      <c r="H217" s="21">
        <v>0</v>
      </c>
      <c r="I217" s="22">
        <f>H217*5.6</f>
        <v>0</v>
      </c>
      <c r="J217" s="23">
        <f>SUM(L217:W217)</f>
        <v>0</v>
      </c>
      <c r="K217" s="24">
        <f>J217*5.6</f>
        <v>0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6"/>
    </row>
    <row r="218" spans="1:24" s="27" customFormat="1" ht="13.5" customHeight="1" x14ac:dyDescent="0.35">
      <c r="A218" s="18" t="s">
        <v>501</v>
      </c>
      <c r="B218" s="20" t="s">
        <v>502</v>
      </c>
      <c r="C218" s="19" t="s">
        <v>186</v>
      </c>
      <c r="D218" s="19" t="s">
        <v>36</v>
      </c>
      <c r="E218" s="19" t="s">
        <v>37</v>
      </c>
      <c r="F218" s="19" t="s">
        <v>31</v>
      </c>
      <c r="G218" s="19" t="s">
        <v>38</v>
      </c>
      <c r="H218" s="21">
        <v>0</v>
      </c>
      <c r="I218" s="22">
        <f>H218*5.6</f>
        <v>0</v>
      </c>
      <c r="J218" s="23">
        <f>SUM(L218:W218)</f>
        <v>0</v>
      </c>
      <c r="K218" s="24">
        <f>J218*5.6</f>
        <v>0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6"/>
    </row>
    <row r="219" spans="1:24" s="27" customFormat="1" ht="13.5" customHeight="1" x14ac:dyDescent="0.35">
      <c r="A219" s="18" t="s">
        <v>503</v>
      </c>
      <c r="B219" s="20" t="s">
        <v>504</v>
      </c>
      <c r="C219" s="19" t="s">
        <v>97</v>
      </c>
      <c r="D219" s="19" t="s">
        <v>50</v>
      </c>
      <c r="E219" s="19" t="s">
        <v>30</v>
      </c>
      <c r="F219" s="19" t="s">
        <v>31</v>
      </c>
      <c r="G219" s="19" t="s">
        <v>38</v>
      </c>
      <c r="H219" s="21">
        <v>43071.428571428572</v>
      </c>
      <c r="I219" s="22">
        <f>H219*5.6</f>
        <v>241200</v>
      </c>
      <c r="J219" s="23">
        <f>SUM(L219:W219)</f>
        <v>0</v>
      </c>
      <c r="K219" s="24">
        <f>J219*5.6</f>
        <v>0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6"/>
    </row>
    <row r="220" spans="1:24" s="27" customFormat="1" ht="13.5" customHeight="1" x14ac:dyDescent="0.35">
      <c r="A220" s="18" t="s">
        <v>505</v>
      </c>
      <c r="B220" s="20" t="s">
        <v>506</v>
      </c>
      <c r="C220" s="19" t="s">
        <v>97</v>
      </c>
      <c r="D220" s="19" t="s">
        <v>50</v>
      </c>
      <c r="E220" s="19" t="s">
        <v>30</v>
      </c>
      <c r="F220" s="19" t="s">
        <v>31</v>
      </c>
      <c r="G220" s="19" t="s">
        <v>38</v>
      </c>
      <c r="H220" s="21">
        <v>157500</v>
      </c>
      <c r="I220" s="22">
        <f>H220*5.6</f>
        <v>882000</v>
      </c>
      <c r="J220" s="23">
        <f>SUM(L220:W220)</f>
        <v>0</v>
      </c>
      <c r="K220" s="24">
        <f>J220*5.6</f>
        <v>0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6"/>
    </row>
    <row r="221" spans="1:24" s="27" customFormat="1" ht="13.5" customHeight="1" x14ac:dyDescent="0.35">
      <c r="A221" s="18" t="s">
        <v>507</v>
      </c>
      <c r="B221" s="20" t="s">
        <v>508</v>
      </c>
      <c r="C221" s="19" t="s">
        <v>97</v>
      </c>
      <c r="D221" s="19" t="s">
        <v>50</v>
      </c>
      <c r="E221" s="19" t="s">
        <v>30</v>
      </c>
      <c r="F221" s="19" t="s">
        <v>31</v>
      </c>
      <c r="G221" s="19" t="s">
        <v>38</v>
      </c>
      <c r="H221" s="21">
        <v>119047.61904761905</v>
      </c>
      <c r="I221" s="22">
        <f>H221*5.6</f>
        <v>666666.66666666663</v>
      </c>
      <c r="J221" s="23">
        <f>SUM(L221:W221)</f>
        <v>0</v>
      </c>
      <c r="K221" s="24">
        <f>J221*5.6</f>
        <v>0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6"/>
    </row>
    <row r="222" spans="1:24" s="27" customFormat="1" ht="13.5" customHeight="1" x14ac:dyDescent="0.35">
      <c r="A222" s="18" t="s">
        <v>509</v>
      </c>
      <c r="B222" s="20" t="s">
        <v>510</v>
      </c>
      <c r="C222" s="19" t="s">
        <v>97</v>
      </c>
      <c r="D222" s="19" t="s">
        <v>50</v>
      </c>
      <c r="E222" s="19" t="s">
        <v>30</v>
      </c>
      <c r="F222" s="19" t="s">
        <v>31</v>
      </c>
      <c r="G222" s="19" t="s">
        <v>38</v>
      </c>
      <c r="H222" s="21">
        <v>0</v>
      </c>
      <c r="I222" s="22">
        <f>H222*5.6</f>
        <v>0</v>
      </c>
      <c r="J222" s="23">
        <f>SUM(L222:W222)</f>
        <v>0</v>
      </c>
      <c r="K222" s="24">
        <f>J222*5.6</f>
        <v>0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6"/>
    </row>
    <row r="223" spans="1:24" s="27" customFormat="1" ht="13.5" customHeight="1" x14ac:dyDescent="0.35">
      <c r="A223" s="18" t="s">
        <v>511</v>
      </c>
      <c r="B223" s="20" t="s">
        <v>512</v>
      </c>
      <c r="C223" s="19" t="s">
        <v>159</v>
      </c>
      <c r="D223" s="19" t="s">
        <v>50</v>
      </c>
      <c r="E223" s="19" t="s">
        <v>30</v>
      </c>
      <c r="F223" s="19" t="s">
        <v>31</v>
      </c>
      <c r="G223" s="19" t="s">
        <v>38</v>
      </c>
      <c r="H223" s="21">
        <v>0</v>
      </c>
      <c r="I223" s="22">
        <f>H223*5.6</f>
        <v>0</v>
      </c>
      <c r="J223" s="23">
        <f>SUM(L223:W223)</f>
        <v>0</v>
      </c>
      <c r="K223" s="24">
        <f>J223*5.6</f>
        <v>0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6"/>
    </row>
    <row r="224" spans="1:24" s="27" customFormat="1" ht="13.5" customHeight="1" x14ac:dyDescent="0.35">
      <c r="A224" s="18" t="s">
        <v>513</v>
      </c>
      <c r="B224" s="20" t="s">
        <v>514</v>
      </c>
      <c r="C224" s="19" t="s">
        <v>159</v>
      </c>
      <c r="D224" s="19" t="s">
        <v>50</v>
      </c>
      <c r="E224" s="19" t="s">
        <v>30</v>
      </c>
      <c r="F224" s="19" t="s">
        <v>31</v>
      </c>
      <c r="G224" s="19" t="s">
        <v>38</v>
      </c>
      <c r="H224" s="21">
        <v>0</v>
      </c>
      <c r="I224" s="22">
        <f>H224*5.6</f>
        <v>0</v>
      </c>
      <c r="J224" s="23">
        <f>SUM(L224:W224)</f>
        <v>0</v>
      </c>
      <c r="K224" s="24">
        <f>J224*5.6</f>
        <v>0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6"/>
    </row>
    <row r="225" spans="1:24" x14ac:dyDescent="0.35">
      <c r="A225" s="18"/>
      <c r="B225" s="29"/>
      <c r="C225" s="28"/>
      <c r="D225" s="28"/>
      <c r="E225" s="28"/>
      <c r="F225" s="28"/>
      <c r="G225" s="28"/>
      <c r="H225" s="31"/>
      <c r="I225" s="32"/>
      <c r="J225" s="33"/>
      <c r="K225" s="34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18"/>
    </row>
    <row r="226" spans="1:24" x14ac:dyDescent="0.35">
      <c r="A226" s="18"/>
      <c r="B226" s="20"/>
      <c r="C226" s="28"/>
      <c r="D226" s="28"/>
      <c r="E226" s="28"/>
      <c r="F226" s="28"/>
      <c r="G226" s="28"/>
      <c r="H226" s="31"/>
      <c r="I226" s="32"/>
      <c r="J226" s="33"/>
      <c r="K226" s="34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18"/>
    </row>
    <row r="227" spans="1:24" x14ac:dyDescent="0.35">
      <c r="A227" s="18"/>
      <c r="B227" s="20"/>
      <c r="C227" s="28"/>
      <c r="D227" s="28"/>
      <c r="E227" s="28"/>
      <c r="F227" s="28"/>
      <c r="G227" s="28"/>
      <c r="H227" s="31"/>
      <c r="I227" s="32"/>
      <c r="J227" s="33"/>
      <c r="K227" s="34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18"/>
    </row>
    <row r="228" spans="1:24" x14ac:dyDescent="0.35">
      <c r="A228" s="18"/>
      <c r="B228" s="20"/>
      <c r="C228" s="28"/>
      <c r="D228" s="28"/>
      <c r="E228" s="28"/>
      <c r="F228" s="28"/>
      <c r="G228" s="28"/>
      <c r="H228" s="31"/>
      <c r="I228" s="32"/>
      <c r="J228" s="33"/>
      <c r="K228" s="34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18"/>
    </row>
    <row r="229" spans="1:24" x14ac:dyDescent="0.35">
      <c r="A229" s="18"/>
      <c r="B229" s="20"/>
      <c r="C229" s="28"/>
      <c r="D229" s="28"/>
      <c r="E229" s="28"/>
      <c r="F229" s="28"/>
      <c r="G229" s="28"/>
      <c r="H229" s="31"/>
      <c r="I229" s="32"/>
      <c r="J229" s="33"/>
      <c r="K229" s="34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18"/>
    </row>
    <row r="230" spans="1:24" x14ac:dyDescent="0.35">
      <c r="A230" s="18"/>
      <c r="B230" s="20"/>
      <c r="C230" s="28"/>
      <c r="D230" s="28"/>
      <c r="E230" s="28"/>
      <c r="F230" s="28"/>
      <c r="G230" s="28"/>
      <c r="H230" s="31"/>
      <c r="I230" s="32"/>
      <c r="J230" s="33"/>
      <c r="K230" s="34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18"/>
    </row>
    <row r="231" spans="1:24" x14ac:dyDescent="0.35">
      <c r="A231" s="18"/>
      <c r="B231" s="20"/>
      <c r="C231" s="28"/>
      <c r="D231" s="28"/>
      <c r="E231" s="28"/>
      <c r="F231" s="28"/>
      <c r="G231" s="28"/>
      <c r="H231" s="31"/>
      <c r="I231" s="32"/>
      <c r="J231" s="33"/>
      <c r="K231" s="34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18"/>
    </row>
    <row r="232" spans="1:24" x14ac:dyDescent="0.35">
      <c r="A232" s="18"/>
      <c r="B232" s="20"/>
      <c r="C232" s="28"/>
      <c r="D232" s="28"/>
      <c r="E232" s="28"/>
      <c r="F232" s="28"/>
      <c r="G232" s="28"/>
      <c r="H232" s="31"/>
      <c r="I232" s="32"/>
      <c r="J232" s="33"/>
      <c r="K232" s="34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18"/>
    </row>
    <row r="233" spans="1:24" x14ac:dyDescent="0.35">
      <c r="A233" s="18"/>
      <c r="B233" s="20"/>
      <c r="C233" s="28"/>
      <c r="D233" s="28"/>
      <c r="E233" s="28"/>
      <c r="F233" s="28"/>
      <c r="G233" s="28"/>
      <c r="H233" s="31"/>
      <c r="I233" s="32"/>
      <c r="J233" s="33"/>
      <c r="K233" s="34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18"/>
    </row>
    <row r="234" spans="1:24" x14ac:dyDescent="0.35">
      <c r="A234" s="18"/>
      <c r="B234" s="20"/>
      <c r="C234" s="28"/>
      <c r="D234" s="28"/>
      <c r="E234" s="28"/>
      <c r="F234" s="28"/>
      <c r="G234" s="28"/>
      <c r="H234" s="31"/>
      <c r="I234" s="32"/>
      <c r="J234" s="33"/>
      <c r="K234" s="34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18"/>
    </row>
    <row r="235" spans="1:24" x14ac:dyDescent="0.35">
      <c r="A235" s="18"/>
      <c r="B235" s="20"/>
      <c r="C235" s="28"/>
      <c r="D235" s="28"/>
      <c r="E235" s="28"/>
      <c r="F235" s="28"/>
      <c r="G235" s="28"/>
      <c r="H235" s="31"/>
      <c r="I235" s="32"/>
      <c r="J235" s="33"/>
      <c r="K235" s="34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18"/>
    </row>
    <row r="236" spans="1:24" x14ac:dyDescent="0.35">
      <c r="A236" s="18"/>
      <c r="B236" s="20"/>
      <c r="C236" s="28"/>
      <c r="D236" s="28"/>
      <c r="E236" s="28"/>
      <c r="F236" s="28"/>
      <c r="G236" s="28"/>
      <c r="H236" s="31"/>
      <c r="I236" s="32"/>
      <c r="J236" s="33"/>
      <c r="K236" s="34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18"/>
    </row>
    <row r="237" spans="1:24" x14ac:dyDescent="0.35">
      <c r="A237" s="18"/>
      <c r="B237" s="20"/>
      <c r="C237" s="28"/>
      <c r="D237" s="28"/>
      <c r="E237" s="28"/>
      <c r="F237" s="28"/>
      <c r="G237" s="28"/>
      <c r="H237" s="31"/>
      <c r="I237" s="32"/>
      <c r="J237" s="33"/>
      <c r="K237" s="34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18"/>
    </row>
    <row r="238" spans="1:24" x14ac:dyDescent="0.35">
      <c r="A238" s="18"/>
      <c r="B238" s="20"/>
      <c r="C238" s="28"/>
      <c r="D238" s="28"/>
      <c r="E238" s="28"/>
      <c r="F238" s="28"/>
      <c r="G238" s="28"/>
      <c r="H238" s="31"/>
      <c r="I238" s="32"/>
      <c r="J238" s="33"/>
      <c r="K238" s="34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18"/>
    </row>
    <row r="239" spans="1:24" x14ac:dyDescent="0.35">
      <c r="A239" s="18"/>
      <c r="B239" s="20"/>
      <c r="C239" s="28"/>
      <c r="D239" s="28"/>
      <c r="E239" s="28"/>
      <c r="F239" s="28"/>
      <c r="G239" s="28"/>
      <c r="H239" s="31"/>
      <c r="I239" s="32"/>
      <c r="J239" s="33"/>
      <c r="K239" s="34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18"/>
    </row>
    <row r="240" spans="1:24" x14ac:dyDescent="0.35">
      <c r="A240" s="18"/>
      <c r="B240" s="20"/>
      <c r="C240" s="28"/>
      <c r="D240" s="28"/>
      <c r="E240" s="28"/>
      <c r="F240" s="28"/>
      <c r="G240" s="28"/>
      <c r="H240" s="31"/>
      <c r="I240" s="32"/>
      <c r="J240" s="33"/>
      <c r="K240" s="34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18"/>
    </row>
    <row r="241" spans="1:24" x14ac:dyDescent="0.35">
      <c r="A241" s="18"/>
      <c r="B241" s="20"/>
      <c r="C241" s="28"/>
      <c r="D241" s="28"/>
      <c r="E241" s="28"/>
      <c r="F241" s="28"/>
      <c r="G241" s="28"/>
      <c r="H241" s="31"/>
      <c r="I241" s="32"/>
      <c r="J241" s="33"/>
      <c r="K241" s="34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18"/>
    </row>
    <row r="242" spans="1:24" x14ac:dyDescent="0.35">
      <c r="A242" s="18"/>
      <c r="B242" s="20"/>
      <c r="C242" s="28"/>
      <c r="D242" s="28"/>
      <c r="E242" s="28"/>
      <c r="F242" s="28"/>
      <c r="G242" s="28"/>
      <c r="H242" s="31"/>
      <c r="I242" s="32"/>
      <c r="J242" s="33"/>
      <c r="K242" s="34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18"/>
    </row>
    <row r="243" spans="1:24" x14ac:dyDescent="0.35">
      <c r="A243" s="18"/>
      <c r="B243" s="20"/>
      <c r="C243" s="28"/>
      <c r="D243" s="28"/>
      <c r="E243" s="28"/>
      <c r="F243" s="28"/>
      <c r="G243" s="28"/>
      <c r="H243" s="31"/>
      <c r="I243" s="32"/>
      <c r="J243" s="33"/>
      <c r="K243" s="34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18"/>
    </row>
    <row r="244" spans="1:24" x14ac:dyDescent="0.35">
      <c r="A244" s="18"/>
      <c r="B244" s="20"/>
      <c r="C244" s="28"/>
      <c r="D244" s="28"/>
      <c r="E244" s="28"/>
      <c r="F244" s="28"/>
      <c r="G244" s="28"/>
      <c r="H244" s="31"/>
      <c r="I244" s="32"/>
      <c r="J244" s="33"/>
      <c r="K244" s="34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18"/>
    </row>
    <row r="245" spans="1:24" x14ac:dyDescent="0.35">
      <c r="A245" s="18"/>
      <c r="B245" s="20"/>
      <c r="C245" s="28"/>
      <c r="D245" s="28"/>
      <c r="E245" s="28"/>
      <c r="F245" s="28"/>
      <c r="G245" s="28"/>
      <c r="H245" s="31"/>
      <c r="I245" s="32"/>
      <c r="J245" s="33"/>
      <c r="K245" s="34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18"/>
    </row>
    <row r="246" spans="1:24" x14ac:dyDescent="0.35">
      <c r="A246" s="18"/>
      <c r="B246" s="20"/>
      <c r="C246" s="28"/>
      <c r="D246" s="28"/>
      <c r="E246" s="28"/>
      <c r="F246" s="28"/>
      <c r="G246" s="28"/>
      <c r="H246" s="31"/>
      <c r="I246" s="32"/>
      <c r="J246" s="33"/>
      <c r="K246" s="34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18"/>
    </row>
    <row r="247" spans="1:24" x14ac:dyDescent="0.35">
      <c r="A247" s="18"/>
      <c r="B247" s="20"/>
      <c r="C247" s="28"/>
      <c r="D247" s="28"/>
      <c r="E247" s="28"/>
      <c r="F247" s="28"/>
      <c r="G247" s="28"/>
      <c r="H247" s="31"/>
      <c r="I247" s="32"/>
      <c r="J247" s="33"/>
      <c r="K247" s="34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18"/>
    </row>
    <row r="248" spans="1:24" x14ac:dyDescent="0.35">
      <c r="A248" s="18"/>
      <c r="B248" s="20"/>
      <c r="C248" s="28"/>
      <c r="D248" s="28"/>
      <c r="E248" s="28"/>
      <c r="F248" s="28"/>
      <c r="G248" s="28"/>
      <c r="H248" s="31"/>
      <c r="I248" s="32"/>
      <c r="J248" s="33"/>
      <c r="K248" s="34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18"/>
    </row>
    <row r="249" spans="1:24" x14ac:dyDescent="0.35">
      <c r="A249" s="18"/>
      <c r="B249" s="20"/>
      <c r="C249" s="28"/>
      <c r="D249" s="28"/>
      <c r="E249" s="28"/>
      <c r="F249" s="28"/>
      <c r="G249" s="28"/>
      <c r="H249" s="31"/>
      <c r="I249" s="32"/>
      <c r="J249" s="33"/>
      <c r="K249" s="34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18"/>
    </row>
    <row r="250" spans="1:24" x14ac:dyDescent="0.35">
      <c r="A250" s="18"/>
      <c r="B250" s="20"/>
      <c r="C250" s="28"/>
      <c r="D250" s="28"/>
      <c r="E250" s="28"/>
      <c r="F250" s="28"/>
      <c r="G250" s="28"/>
      <c r="H250" s="31"/>
      <c r="I250" s="32"/>
      <c r="J250" s="33"/>
      <c r="K250" s="34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18"/>
    </row>
    <row r="251" spans="1:24" x14ac:dyDescent="0.35">
      <c r="A251" s="18"/>
      <c r="B251" s="20"/>
      <c r="C251" s="28"/>
      <c r="D251" s="28"/>
      <c r="E251" s="28"/>
      <c r="F251" s="28"/>
      <c r="G251" s="28"/>
      <c r="H251" s="31"/>
      <c r="I251" s="32"/>
      <c r="J251" s="33"/>
      <c r="K251" s="34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18"/>
    </row>
    <row r="252" spans="1:24" x14ac:dyDescent="0.35">
      <c r="A252" s="18"/>
      <c r="B252" s="20"/>
      <c r="C252" s="28"/>
      <c r="D252" s="28"/>
      <c r="E252" s="28"/>
      <c r="F252" s="28"/>
      <c r="G252" s="28"/>
      <c r="H252" s="31"/>
      <c r="I252" s="32"/>
      <c r="J252" s="33"/>
      <c r="K252" s="34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18"/>
    </row>
    <row r="253" spans="1:24" x14ac:dyDescent="0.35">
      <c r="A253" s="18"/>
      <c r="B253" s="20"/>
      <c r="C253" s="28"/>
      <c r="D253" s="28"/>
      <c r="E253" s="28"/>
      <c r="F253" s="28"/>
      <c r="G253" s="28"/>
      <c r="H253" s="31"/>
      <c r="I253" s="32"/>
      <c r="J253" s="33"/>
      <c r="K253" s="34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18"/>
    </row>
    <row r="254" spans="1:24" x14ac:dyDescent="0.35">
      <c r="A254" s="18"/>
      <c r="B254" s="20"/>
      <c r="C254" s="28"/>
      <c r="D254" s="28"/>
      <c r="E254" s="28"/>
      <c r="F254" s="28"/>
      <c r="G254" s="28"/>
      <c r="H254" s="31"/>
      <c r="I254" s="32"/>
      <c r="J254" s="33"/>
      <c r="K254" s="34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18"/>
    </row>
    <row r="255" spans="1:24" x14ac:dyDescent="0.35">
      <c r="A255" s="18"/>
      <c r="B255" s="20"/>
      <c r="C255" s="28"/>
      <c r="D255" s="28"/>
      <c r="E255" s="28"/>
      <c r="F255" s="28"/>
      <c r="G255" s="28"/>
      <c r="H255" s="31"/>
      <c r="I255" s="32"/>
      <c r="J255" s="33"/>
      <c r="K255" s="34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18"/>
    </row>
    <row r="256" spans="1:24" x14ac:dyDescent="0.35">
      <c r="A256" s="18"/>
      <c r="B256" s="20"/>
      <c r="C256" s="28"/>
      <c r="D256" s="28"/>
      <c r="E256" s="28"/>
      <c r="F256" s="28"/>
      <c r="G256" s="28"/>
      <c r="H256" s="31"/>
      <c r="I256" s="32"/>
      <c r="J256" s="33"/>
      <c r="K256" s="34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18"/>
    </row>
    <row r="257" spans="1:24" x14ac:dyDescent="0.35">
      <c r="A257" s="18"/>
      <c r="B257" s="20"/>
      <c r="C257" s="28"/>
      <c r="D257" s="28"/>
      <c r="E257" s="28"/>
      <c r="F257" s="28"/>
      <c r="G257" s="28"/>
      <c r="H257" s="31"/>
      <c r="I257" s="32"/>
      <c r="J257" s="33"/>
      <c r="K257" s="34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18"/>
    </row>
    <row r="258" spans="1:24" x14ac:dyDescent="0.35">
      <c r="A258" s="18"/>
      <c r="B258" s="20"/>
      <c r="C258" s="28"/>
      <c r="D258" s="28"/>
      <c r="E258" s="28"/>
      <c r="F258" s="28"/>
      <c r="G258" s="28"/>
      <c r="H258" s="31"/>
      <c r="I258" s="32"/>
      <c r="J258" s="33"/>
      <c r="K258" s="34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18"/>
    </row>
    <row r="259" spans="1:24" x14ac:dyDescent="0.35">
      <c r="A259" s="18"/>
      <c r="B259" s="20"/>
      <c r="C259" s="28"/>
      <c r="D259" s="28"/>
      <c r="E259" s="28"/>
      <c r="F259" s="28"/>
      <c r="G259" s="28"/>
      <c r="H259" s="31"/>
      <c r="I259" s="32"/>
      <c r="J259" s="33"/>
      <c r="K259" s="34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18"/>
    </row>
    <row r="260" spans="1:24" x14ac:dyDescent="0.35">
      <c r="A260" s="18"/>
      <c r="B260" s="20"/>
      <c r="C260" s="28"/>
      <c r="D260" s="28"/>
      <c r="E260" s="28"/>
      <c r="F260" s="28"/>
      <c r="G260" s="28"/>
      <c r="H260" s="31"/>
      <c r="I260" s="32"/>
      <c r="J260" s="33"/>
      <c r="K260" s="34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18"/>
    </row>
    <row r="261" spans="1:24" x14ac:dyDescent="0.35">
      <c r="A261" s="18"/>
      <c r="B261" s="20"/>
      <c r="C261" s="28"/>
      <c r="D261" s="28"/>
      <c r="E261" s="28"/>
      <c r="F261" s="28"/>
      <c r="G261" s="28"/>
      <c r="H261" s="31"/>
      <c r="I261" s="32"/>
      <c r="J261" s="33"/>
      <c r="K261" s="34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18"/>
    </row>
    <row r="262" spans="1:24" x14ac:dyDescent="0.35">
      <c r="A262" s="18"/>
      <c r="B262" s="20"/>
      <c r="C262" s="28"/>
      <c r="D262" s="28"/>
      <c r="E262" s="28"/>
      <c r="F262" s="28"/>
      <c r="G262" s="28"/>
      <c r="H262" s="31"/>
      <c r="I262" s="32"/>
      <c r="J262" s="33"/>
      <c r="K262" s="34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18"/>
    </row>
    <row r="263" spans="1:24" x14ac:dyDescent="0.35">
      <c r="A263" s="18"/>
      <c r="B263" s="20"/>
      <c r="C263" s="28"/>
      <c r="D263" s="28"/>
      <c r="E263" s="28"/>
      <c r="F263" s="28"/>
      <c r="G263" s="28"/>
      <c r="H263" s="31"/>
      <c r="I263" s="32"/>
      <c r="J263" s="33"/>
      <c r="K263" s="34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18"/>
    </row>
    <row r="264" spans="1:24" x14ac:dyDescent="0.35">
      <c r="A264" s="18"/>
      <c r="B264" s="20"/>
      <c r="C264" s="28"/>
      <c r="D264" s="28"/>
      <c r="E264" s="28"/>
      <c r="F264" s="28"/>
      <c r="G264" s="28"/>
      <c r="H264" s="31"/>
      <c r="I264" s="32"/>
      <c r="J264" s="33"/>
      <c r="K264" s="34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18"/>
    </row>
    <row r="265" spans="1:24" x14ac:dyDescent="0.35">
      <c r="A265" s="18"/>
      <c r="B265" s="20"/>
      <c r="C265" s="28"/>
      <c r="D265" s="28"/>
      <c r="E265" s="28"/>
      <c r="F265" s="28"/>
      <c r="G265" s="28"/>
      <c r="H265" s="31"/>
      <c r="I265" s="32"/>
      <c r="J265" s="33"/>
      <c r="K265" s="34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18"/>
    </row>
    <row r="266" spans="1:24" x14ac:dyDescent="0.35">
      <c r="A266" s="18"/>
      <c r="B266" s="20"/>
      <c r="C266" s="28"/>
      <c r="D266" s="28"/>
      <c r="E266" s="28"/>
      <c r="F266" s="28"/>
      <c r="G266" s="28"/>
      <c r="H266" s="31"/>
      <c r="I266" s="32"/>
      <c r="J266" s="33"/>
      <c r="K266" s="34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18"/>
    </row>
    <row r="267" spans="1:24" x14ac:dyDescent="0.35">
      <c r="A267" s="18"/>
      <c r="B267" s="20"/>
      <c r="C267" s="28"/>
      <c r="D267" s="28"/>
      <c r="E267" s="28"/>
      <c r="F267" s="28"/>
      <c r="G267" s="28"/>
      <c r="H267" s="31"/>
      <c r="I267" s="32"/>
      <c r="J267" s="33"/>
      <c r="K267" s="34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18"/>
    </row>
    <row r="268" spans="1:24" x14ac:dyDescent="0.35">
      <c r="A268" s="18"/>
      <c r="B268" s="20"/>
      <c r="C268" s="28"/>
      <c r="D268" s="28"/>
      <c r="E268" s="28"/>
      <c r="F268" s="28"/>
      <c r="G268" s="28"/>
      <c r="H268" s="31"/>
      <c r="I268" s="32"/>
      <c r="J268" s="33"/>
      <c r="K268" s="34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18"/>
    </row>
    <row r="269" spans="1:24" x14ac:dyDescent="0.35">
      <c r="A269" s="18"/>
      <c r="B269" s="20"/>
      <c r="C269" s="28"/>
      <c r="D269" s="28"/>
      <c r="E269" s="28"/>
      <c r="F269" s="28"/>
      <c r="G269" s="28"/>
      <c r="H269" s="31"/>
      <c r="I269" s="32"/>
      <c r="J269" s="33"/>
      <c r="K269" s="34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18"/>
    </row>
    <row r="270" spans="1:24" x14ac:dyDescent="0.35">
      <c r="A270" s="18"/>
      <c r="B270" s="20"/>
      <c r="C270" s="28"/>
      <c r="D270" s="28"/>
      <c r="E270" s="28"/>
      <c r="F270" s="28"/>
      <c r="G270" s="28"/>
      <c r="H270" s="31"/>
      <c r="I270" s="32"/>
      <c r="J270" s="33"/>
      <c r="K270" s="34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18"/>
    </row>
    <row r="271" spans="1:24" x14ac:dyDescent="0.35">
      <c r="A271" s="18"/>
      <c r="B271" s="20"/>
      <c r="C271" s="28"/>
      <c r="D271" s="28"/>
      <c r="E271" s="28"/>
      <c r="F271" s="28"/>
      <c r="G271" s="28"/>
      <c r="H271" s="31"/>
      <c r="I271" s="32"/>
      <c r="J271" s="33"/>
      <c r="K271" s="34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18"/>
    </row>
    <row r="272" spans="1:24" x14ac:dyDescent="0.35">
      <c r="A272" s="18"/>
      <c r="B272" s="20"/>
      <c r="C272" s="28"/>
      <c r="D272" s="28"/>
      <c r="E272" s="28"/>
      <c r="F272" s="28"/>
      <c r="G272" s="28"/>
      <c r="H272" s="31"/>
      <c r="I272" s="32"/>
      <c r="J272" s="33"/>
      <c r="K272" s="34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18"/>
    </row>
    <row r="273" spans="1:24" x14ac:dyDescent="0.35">
      <c r="A273" s="18"/>
      <c r="B273" s="20"/>
      <c r="C273" s="28"/>
      <c r="D273" s="28"/>
      <c r="E273" s="28"/>
      <c r="F273" s="28"/>
      <c r="G273" s="28"/>
      <c r="H273" s="31"/>
      <c r="I273" s="32"/>
      <c r="J273" s="33"/>
      <c r="K273" s="34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18"/>
    </row>
    <row r="274" spans="1:24" x14ac:dyDescent="0.35">
      <c r="A274" s="18"/>
      <c r="B274" s="20"/>
      <c r="C274" s="28"/>
      <c r="D274" s="28"/>
      <c r="E274" s="28"/>
      <c r="F274" s="28"/>
      <c r="G274" s="28"/>
      <c r="H274" s="31"/>
      <c r="I274" s="32"/>
      <c r="J274" s="33"/>
      <c r="K274" s="34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18"/>
    </row>
    <row r="275" spans="1:24" x14ac:dyDescent="0.35">
      <c r="A275" s="18"/>
      <c r="B275" s="20"/>
      <c r="C275" s="28"/>
      <c r="D275" s="28"/>
      <c r="E275" s="28"/>
      <c r="F275" s="28"/>
      <c r="G275" s="28"/>
      <c r="H275" s="31"/>
      <c r="I275" s="32"/>
      <c r="J275" s="33"/>
      <c r="K275" s="34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18"/>
    </row>
    <row r="276" spans="1:24" x14ac:dyDescent="0.35">
      <c r="A276" s="18"/>
      <c r="B276" s="20"/>
      <c r="C276" s="28"/>
      <c r="D276" s="28"/>
      <c r="E276" s="28"/>
      <c r="F276" s="28"/>
      <c r="G276" s="28"/>
      <c r="H276" s="31"/>
      <c r="I276" s="32"/>
      <c r="J276" s="33"/>
      <c r="K276" s="34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18"/>
    </row>
    <row r="277" spans="1:24" x14ac:dyDescent="0.35">
      <c r="A277" s="18"/>
      <c r="B277" s="20"/>
      <c r="C277" s="28"/>
      <c r="D277" s="28"/>
      <c r="E277" s="28"/>
      <c r="F277" s="28"/>
      <c r="G277" s="28"/>
      <c r="H277" s="31"/>
      <c r="I277" s="32"/>
      <c r="J277" s="33"/>
      <c r="K277" s="34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18"/>
    </row>
    <row r="278" spans="1:24" x14ac:dyDescent="0.35">
      <c r="A278" s="18"/>
      <c r="B278" s="20"/>
      <c r="C278" s="28"/>
      <c r="D278" s="28"/>
      <c r="E278" s="28"/>
      <c r="F278" s="28"/>
      <c r="G278" s="28"/>
      <c r="H278" s="31"/>
      <c r="I278" s="32"/>
      <c r="J278" s="33"/>
      <c r="K278" s="34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18"/>
    </row>
    <row r="279" spans="1:24" x14ac:dyDescent="0.35">
      <c r="A279" s="18"/>
      <c r="B279" s="20"/>
      <c r="C279" s="28"/>
      <c r="D279" s="28"/>
      <c r="E279" s="28"/>
      <c r="F279" s="28"/>
      <c r="G279" s="28"/>
      <c r="H279" s="31"/>
      <c r="I279" s="32"/>
      <c r="J279" s="33"/>
      <c r="K279" s="34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18"/>
    </row>
    <row r="280" spans="1:24" x14ac:dyDescent="0.35">
      <c r="A280" s="18"/>
      <c r="B280" s="20"/>
      <c r="C280" s="28"/>
      <c r="D280" s="28"/>
      <c r="E280" s="28"/>
      <c r="F280" s="28"/>
      <c r="G280" s="28"/>
      <c r="H280" s="31"/>
      <c r="I280" s="32"/>
      <c r="J280" s="33"/>
      <c r="K280" s="34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18"/>
    </row>
    <row r="281" spans="1:24" x14ac:dyDescent="0.35">
      <c r="A281" s="18"/>
      <c r="B281" s="20"/>
      <c r="C281" s="28"/>
      <c r="D281" s="28"/>
      <c r="E281" s="28"/>
      <c r="F281" s="28"/>
      <c r="G281" s="28"/>
      <c r="H281" s="31"/>
      <c r="I281" s="32"/>
      <c r="J281" s="33"/>
      <c r="K281" s="34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18"/>
    </row>
    <row r="282" spans="1:24" x14ac:dyDescent="0.35">
      <c r="A282" s="18"/>
      <c r="B282" s="20"/>
      <c r="C282" s="28"/>
      <c r="D282" s="28"/>
      <c r="E282" s="28"/>
      <c r="F282" s="28"/>
      <c r="G282" s="28"/>
      <c r="H282" s="31"/>
      <c r="I282" s="32"/>
      <c r="J282" s="33"/>
      <c r="K282" s="34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18"/>
    </row>
    <row r="283" spans="1:24" x14ac:dyDescent="0.35">
      <c r="A283" s="18"/>
      <c r="B283" s="20"/>
      <c r="C283" s="28"/>
      <c r="D283" s="28"/>
      <c r="E283" s="28"/>
      <c r="F283" s="28"/>
      <c r="G283" s="28"/>
      <c r="H283" s="31"/>
      <c r="I283" s="32"/>
      <c r="J283" s="33"/>
      <c r="K283" s="34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18"/>
    </row>
    <row r="284" spans="1:24" x14ac:dyDescent="0.35">
      <c r="A284" s="18"/>
      <c r="B284" s="20"/>
      <c r="C284" s="28"/>
      <c r="D284" s="28"/>
      <c r="E284" s="28"/>
      <c r="F284" s="28"/>
      <c r="G284" s="28"/>
      <c r="H284" s="31"/>
      <c r="I284" s="32"/>
      <c r="J284" s="33"/>
      <c r="K284" s="34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18"/>
    </row>
    <row r="285" spans="1:24" x14ac:dyDescent="0.35">
      <c r="A285" s="18"/>
      <c r="B285" s="20"/>
      <c r="C285" s="28"/>
      <c r="D285" s="28"/>
      <c r="E285" s="28"/>
      <c r="F285" s="28"/>
      <c r="G285" s="28"/>
      <c r="H285" s="31"/>
      <c r="I285" s="32"/>
      <c r="J285" s="33"/>
      <c r="K285" s="34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18"/>
    </row>
    <row r="286" spans="1:24" x14ac:dyDescent="0.35">
      <c r="A286" s="18"/>
      <c r="B286" s="20"/>
      <c r="C286" s="28"/>
      <c r="D286" s="28"/>
      <c r="E286" s="28"/>
      <c r="F286" s="28"/>
      <c r="G286" s="28"/>
      <c r="H286" s="31"/>
      <c r="I286" s="32"/>
      <c r="J286" s="33"/>
      <c r="K286" s="34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18"/>
    </row>
    <row r="287" spans="1:24" x14ac:dyDescent="0.35">
      <c r="A287" s="18"/>
      <c r="B287" s="20"/>
      <c r="C287" s="28"/>
      <c r="D287" s="28"/>
      <c r="E287" s="28"/>
      <c r="F287" s="28"/>
      <c r="G287" s="28"/>
      <c r="H287" s="31"/>
      <c r="I287" s="32"/>
      <c r="J287" s="33"/>
      <c r="K287" s="34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18"/>
    </row>
    <row r="288" spans="1:24" x14ac:dyDescent="0.35">
      <c r="A288" s="18"/>
      <c r="B288" s="20"/>
      <c r="C288" s="28"/>
      <c r="D288" s="28"/>
      <c r="E288" s="28"/>
      <c r="F288" s="28"/>
      <c r="G288" s="28"/>
      <c r="H288" s="31"/>
      <c r="I288" s="32"/>
      <c r="J288" s="33"/>
      <c r="K288" s="34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18"/>
    </row>
    <row r="289" spans="1:24" x14ac:dyDescent="0.35">
      <c r="A289" s="18"/>
      <c r="B289" s="20"/>
      <c r="C289" s="28"/>
      <c r="D289" s="28"/>
      <c r="E289" s="28"/>
      <c r="F289" s="28"/>
      <c r="G289" s="28"/>
      <c r="H289" s="31"/>
      <c r="I289" s="32"/>
      <c r="J289" s="33"/>
      <c r="K289" s="34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18"/>
    </row>
    <row r="290" spans="1:24" x14ac:dyDescent="0.35">
      <c r="A290" s="18"/>
      <c r="B290" s="20"/>
      <c r="C290" s="28"/>
      <c r="D290" s="28"/>
      <c r="E290" s="28"/>
      <c r="F290" s="28"/>
      <c r="G290" s="28"/>
      <c r="H290" s="31"/>
      <c r="I290" s="32"/>
      <c r="J290" s="33"/>
      <c r="K290" s="34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18"/>
    </row>
    <row r="291" spans="1:24" x14ac:dyDescent="0.35">
      <c r="A291" s="18"/>
      <c r="B291" s="20"/>
      <c r="C291" s="28"/>
      <c r="D291" s="28"/>
      <c r="E291" s="28"/>
      <c r="F291" s="28"/>
      <c r="G291" s="28"/>
      <c r="H291" s="31"/>
      <c r="I291" s="32"/>
      <c r="J291" s="33"/>
      <c r="K291" s="34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18"/>
    </row>
    <row r="292" spans="1:24" x14ac:dyDescent="0.35">
      <c r="A292" s="18"/>
      <c r="B292" s="20"/>
      <c r="C292" s="28"/>
      <c r="D292" s="28"/>
      <c r="E292" s="28"/>
      <c r="F292" s="28"/>
      <c r="G292" s="28"/>
      <c r="H292" s="31"/>
      <c r="I292" s="32"/>
      <c r="J292" s="33"/>
      <c r="K292" s="34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18"/>
    </row>
    <row r="293" spans="1:24" x14ac:dyDescent="0.35">
      <c r="A293" s="18"/>
      <c r="B293" s="20"/>
      <c r="C293" s="28"/>
      <c r="D293" s="28"/>
      <c r="E293" s="28"/>
      <c r="F293" s="28"/>
      <c r="G293" s="28"/>
      <c r="H293" s="31"/>
      <c r="I293" s="32"/>
      <c r="J293" s="33"/>
      <c r="K293" s="34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18"/>
    </row>
    <row r="294" spans="1:24" x14ac:dyDescent="0.35">
      <c r="A294" s="18"/>
      <c r="B294" s="20"/>
      <c r="C294" s="28"/>
      <c r="D294" s="28"/>
      <c r="E294" s="28"/>
      <c r="F294" s="28"/>
      <c r="G294" s="28"/>
      <c r="H294" s="31"/>
      <c r="I294" s="32"/>
      <c r="J294" s="33"/>
      <c r="K294" s="34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18"/>
    </row>
    <row r="295" spans="1:24" x14ac:dyDescent="0.35">
      <c r="A295" s="18"/>
      <c r="B295" s="20"/>
      <c r="C295" s="28"/>
      <c r="D295" s="28"/>
      <c r="E295" s="28"/>
      <c r="F295" s="28"/>
      <c r="G295" s="28"/>
      <c r="H295" s="31"/>
      <c r="I295" s="32"/>
      <c r="J295" s="33"/>
      <c r="K295" s="34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18"/>
    </row>
    <row r="296" spans="1:24" x14ac:dyDescent="0.35">
      <c r="A296" s="18"/>
      <c r="B296" s="20"/>
      <c r="C296" s="28"/>
      <c r="D296" s="28"/>
      <c r="E296" s="28"/>
      <c r="F296" s="28"/>
      <c r="G296" s="28"/>
      <c r="H296" s="31"/>
      <c r="I296" s="32"/>
      <c r="J296" s="33"/>
      <c r="K296" s="34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18"/>
    </row>
    <row r="297" spans="1:24" x14ac:dyDescent="0.35">
      <c r="A297" s="18"/>
      <c r="B297" s="20"/>
      <c r="C297" s="28"/>
      <c r="D297" s="28"/>
      <c r="E297" s="28"/>
      <c r="F297" s="28"/>
      <c r="G297" s="28"/>
      <c r="H297" s="31"/>
      <c r="I297" s="32"/>
      <c r="J297" s="33"/>
      <c r="K297" s="34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18"/>
    </row>
    <row r="298" spans="1:24" x14ac:dyDescent="0.35">
      <c r="A298" s="18"/>
      <c r="B298" s="20"/>
      <c r="C298" s="28"/>
      <c r="D298" s="28"/>
      <c r="E298" s="28"/>
      <c r="F298" s="28"/>
      <c r="G298" s="28"/>
      <c r="H298" s="31"/>
      <c r="I298" s="32"/>
      <c r="J298" s="33"/>
      <c r="K298" s="34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18"/>
    </row>
    <row r="299" spans="1:24" x14ac:dyDescent="0.35">
      <c r="A299" s="18"/>
      <c r="B299" s="20"/>
      <c r="C299" s="28"/>
      <c r="D299" s="28"/>
      <c r="E299" s="28"/>
      <c r="F299" s="28"/>
      <c r="G299" s="28"/>
      <c r="H299" s="31"/>
      <c r="I299" s="32"/>
      <c r="J299" s="33"/>
      <c r="K299" s="34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18"/>
    </row>
    <row r="300" spans="1:24" x14ac:dyDescent="0.35">
      <c r="A300" s="18"/>
      <c r="B300" s="20"/>
      <c r="C300" s="28"/>
      <c r="D300" s="28"/>
      <c r="E300" s="28"/>
      <c r="F300" s="28"/>
      <c r="G300" s="28"/>
      <c r="H300" s="31"/>
      <c r="I300" s="32"/>
      <c r="J300" s="33"/>
      <c r="K300" s="34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18"/>
    </row>
    <row r="301" spans="1:24" x14ac:dyDescent="0.35">
      <c r="A301" s="18"/>
      <c r="B301" s="20"/>
      <c r="C301" s="28"/>
      <c r="D301" s="28"/>
      <c r="E301" s="28"/>
      <c r="F301" s="28"/>
      <c r="G301" s="28"/>
      <c r="H301" s="31"/>
      <c r="I301" s="32"/>
      <c r="J301" s="33"/>
      <c r="K301" s="34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18"/>
    </row>
    <row r="302" spans="1:24" x14ac:dyDescent="0.35">
      <c r="A302" s="18"/>
      <c r="B302" s="20"/>
      <c r="C302" s="28"/>
      <c r="D302" s="28"/>
      <c r="E302" s="28"/>
      <c r="F302" s="28"/>
      <c r="G302" s="28"/>
      <c r="H302" s="31"/>
      <c r="I302" s="32"/>
      <c r="J302" s="33"/>
      <c r="K302" s="34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18"/>
    </row>
    <row r="303" spans="1:24" x14ac:dyDescent="0.35">
      <c r="A303" s="18"/>
      <c r="B303" s="20"/>
      <c r="C303" s="28"/>
      <c r="D303" s="28"/>
      <c r="E303" s="28"/>
      <c r="F303" s="28"/>
      <c r="G303" s="28"/>
      <c r="H303" s="31"/>
      <c r="I303" s="32"/>
      <c r="J303" s="33"/>
      <c r="K303" s="34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18"/>
    </row>
    <row r="304" spans="1:24" x14ac:dyDescent="0.35">
      <c r="A304" s="18"/>
      <c r="B304" s="20"/>
      <c r="C304" s="28"/>
      <c r="D304" s="28"/>
      <c r="E304" s="28"/>
      <c r="F304" s="28"/>
      <c r="G304" s="28"/>
      <c r="H304" s="31"/>
      <c r="I304" s="32"/>
      <c r="J304" s="33"/>
      <c r="K304" s="34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18"/>
    </row>
    <row r="305" spans="1:24" x14ac:dyDescent="0.35">
      <c r="A305" s="18"/>
      <c r="B305" s="20"/>
      <c r="C305" s="28"/>
      <c r="D305" s="28"/>
      <c r="E305" s="28"/>
      <c r="F305" s="28"/>
      <c r="G305" s="28"/>
      <c r="H305" s="31"/>
      <c r="I305" s="32"/>
      <c r="J305" s="33"/>
      <c r="K305" s="34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18"/>
    </row>
    <row r="306" spans="1:24" x14ac:dyDescent="0.35">
      <c r="A306" s="18"/>
      <c r="B306" s="20"/>
      <c r="C306" s="28"/>
      <c r="D306" s="28"/>
      <c r="E306" s="28"/>
      <c r="F306" s="28"/>
      <c r="G306" s="28"/>
      <c r="H306" s="31"/>
      <c r="I306" s="32"/>
      <c r="J306" s="33"/>
      <c r="K306" s="34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18"/>
    </row>
    <row r="307" spans="1:24" x14ac:dyDescent="0.35">
      <c r="A307" s="18"/>
      <c r="B307" s="20"/>
      <c r="C307" s="28"/>
      <c r="D307" s="28"/>
      <c r="E307" s="28"/>
      <c r="F307" s="28"/>
      <c r="G307" s="28"/>
      <c r="H307" s="31"/>
      <c r="I307" s="32"/>
      <c r="J307" s="33"/>
      <c r="K307" s="34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18"/>
    </row>
    <row r="308" spans="1:24" x14ac:dyDescent="0.35">
      <c r="A308" s="18"/>
      <c r="B308" s="20"/>
      <c r="C308" s="28"/>
      <c r="D308" s="28"/>
      <c r="E308" s="28"/>
      <c r="F308" s="28"/>
      <c r="G308" s="28"/>
      <c r="H308" s="31"/>
      <c r="I308" s="32"/>
      <c r="J308" s="33"/>
      <c r="K308" s="34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18"/>
    </row>
    <row r="309" spans="1:24" x14ac:dyDescent="0.35">
      <c r="A309" s="18"/>
      <c r="B309" s="20"/>
      <c r="C309" s="28"/>
      <c r="D309" s="28"/>
      <c r="E309" s="28"/>
      <c r="F309" s="28"/>
      <c r="G309" s="28"/>
      <c r="H309" s="31"/>
      <c r="I309" s="32"/>
      <c r="J309" s="33"/>
      <c r="K309" s="34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18"/>
    </row>
    <row r="310" spans="1:24" x14ac:dyDescent="0.35">
      <c r="A310" s="18"/>
      <c r="B310" s="20"/>
      <c r="C310" s="28"/>
      <c r="D310" s="28"/>
      <c r="E310" s="28"/>
      <c r="F310" s="28"/>
      <c r="G310" s="28"/>
      <c r="H310" s="31"/>
      <c r="I310" s="32"/>
      <c r="J310" s="33"/>
      <c r="K310" s="34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18"/>
    </row>
    <row r="311" spans="1:24" x14ac:dyDescent="0.35">
      <c r="A311" s="18"/>
      <c r="B311" s="20"/>
      <c r="C311" s="28"/>
      <c r="D311" s="28"/>
      <c r="E311" s="28"/>
      <c r="F311" s="28"/>
      <c r="G311" s="28"/>
      <c r="H311" s="31"/>
      <c r="I311" s="32"/>
      <c r="J311" s="33"/>
      <c r="K311" s="34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18"/>
    </row>
    <row r="312" spans="1:24" x14ac:dyDescent="0.35">
      <c r="A312" s="18"/>
      <c r="B312" s="20"/>
      <c r="C312" s="28"/>
      <c r="D312" s="28"/>
      <c r="E312" s="28"/>
      <c r="F312" s="28"/>
      <c r="G312" s="28"/>
      <c r="H312" s="31"/>
      <c r="I312" s="32"/>
      <c r="J312" s="33"/>
      <c r="K312" s="34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18"/>
    </row>
    <row r="313" spans="1:24" x14ac:dyDescent="0.35">
      <c r="A313" s="18"/>
      <c r="B313" s="20"/>
      <c r="C313" s="28"/>
      <c r="D313" s="28"/>
      <c r="E313" s="28"/>
      <c r="F313" s="28"/>
      <c r="G313" s="28"/>
      <c r="H313" s="31"/>
      <c r="I313" s="32"/>
      <c r="J313" s="33"/>
      <c r="K313" s="34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18"/>
    </row>
    <row r="314" spans="1:24" x14ac:dyDescent="0.35">
      <c r="A314" s="18"/>
      <c r="B314" s="20"/>
      <c r="C314" s="28"/>
      <c r="D314" s="28"/>
      <c r="E314" s="28"/>
      <c r="F314" s="28"/>
      <c r="G314" s="28"/>
      <c r="H314" s="31"/>
      <c r="I314" s="32"/>
      <c r="J314" s="33"/>
      <c r="K314" s="34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18"/>
    </row>
    <row r="315" spans="1:24" x14ac:dyDescent="0.35">
      <c r="A315" s="18"/>
      <c r="B315" s="20"/>
      <c r="C315" s="28"/>
      <c r="D315" s="28"/>
      <c r="E315" s="28"/>
      <c r="F315" s="28"/>
      <c r="G315" s="28"/>
      <c r="H315" s="31"/>
      <c r="I315" s="32"/>
      <c r="J315" s="33"/>
      <c r="K315" s="34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18"/>
    </row>
    <row r="316" spans="1:24" x14ac:dyDescent="0.35">
      <c r="A316" s="18"/>
      <c r="B316" s="20"/>
      <c r="C316" s="28"/>
      <c r="D316" s="28"/>
      <c r="E316" s="28"/>
      <c r="F316" s="28"/>
      <c r="G316" s="28"/>
      <c r="H316" s="31"/>
      <c r="I316" s="32"/>
      <c r="J316" s="33"/>
      <c r="K316" s="34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18"/>
    </row>
    <row r="317" spans="1:24" x14ac:dyDescent="0.35">
      <c r="A317" s="18"/>
      <c r="B317" s="20"/>
      <c r="C317" s="28"/>
      <c r="D317" s="28"/>
      <c r="E317" s="28"/>
      <c r="F317" s="28"/>
      <c r="G317" s="28"/>
      <c r="H317" s="31"/>
      <c r="I317" s="32"/>
      <c r="J317" s="33"/>
      <c r="K317" s="34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18"/>
    </row>
    <row r="318" spans="1:24" x14ac:dyDescent="0.35">
      <c r="A318" s="18"/>
      <c r="B318" s="20"/>
      <c r="C318" s="28"/>
      <c r="D318" s="28"/>
      <c r="E318" s="28"/>
      <c r="F318" s="28"/>
      <c r="G318" s="28"/>
      <c r="H318" s="31"/>
      <c r="I318" s="32"/>
      <c r="J318" s="33"/>
      <c r="K318" s="34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18"/>
    </row>
    <row r="319" spans="1:24" x14ac:dyDescent="0.35">
      <c r="A319" s="18"/>
      <c r="B319" s="20"/>
      <c r="C319" s="28"/>
      <c r="D319" s="28"/>
      <c r="E319" s="28"/>
      <c r="F319" s="28"/>
      <c r="G319" s="28"/>
      <c r="H319" s="31"/>
      <c r="I319" s="32"/>
      <c r="J319" s="33"/>
      <c r="K319" s="34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18"/>
    </row>
    <row r="320" spans="1:24" x14ac:dyDescent="0.35">
      <c r="A320" s="18"/>
      <c r="B320" s="20"/>
      <c r="C320" s="28"/>
      <c r="D320" s="28"/>
      <c r="E320" s="28"/>
      <c r="F320" s="28"/>
      <c r="G320" s="28"/>
      <c r="H320" s="31"/>
      <c r="I320" s="32"/>
      <c r="J320" s="33"/>
      <c r="K320" s="34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18"/>
    </row>
    <row r="321" spans="1:24" x14ac:dyDescent="0.35">
      <c r="A321" s="18"/>
      <c r="B321" s="20"/>
      <c r="C321" s="28"/>
      <c r="D321" s="28"/>
      <c r="E321" s="28"/>
      <c r="F321" s="28"/>
      <c r="G321" s="28"/>
      <c r="H321" s="31"/>
      <c r="I321" s="32"/>
      <c r="J321" s="33"/>
      <c r="K321" s="34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18"/>
    </row>
    <row r="322" spans="1:24" x14ac:dyDescent="0.35">
      <c r="A322" s="18"/>
      <c r="B322" s="20"/>
      <c r="C322" s="28"/>
      <c r="D322" s="28"/>
      <c r="E322" s="28"/>
      <c r="F322" s="28"/>
      <c r="G322" s="28"/>
      <c r="H322" s="31"/>
      <c r="I322" s="32"/>
      <c r="J322" s="33"/>
      <c r="K322" s="34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18"/>
    </row>
    <row r="323" spans="1:24" x14ac:dyDescent="0.35">
      <c r="A323" s="18"/>
      <c r="B323" s="20"/>
      <c r="C323" s="28"/>
      <c r="D323" s="28"/>
      <c r="E323" s="28"/>
      <c r="F323" s="28"/>
      <c r="G323" s="28"/>
      <c r="H323" s="31"/>
      <c r="I323" s="32"/>
      <c r="J323" s="33"/>
      <c r="K323" s="34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18"/>
    </row>
    <row r="324" spans="1:24" x14ac:dyDescent="0.35">
      <c r="A324" s="18"/>
      <c r="B324" s="20"/>
      <c r="C324" s="28"/>
      <c r="D324" s="28"/>
      <c r="E324" s="28"/>
      <c r="F324" s="28"/>
      <c r="G324" s="28"/>
      <c r="H324" s="31"/>
      <c r="I324" s="32"/>
      <c r="J324" s="33"/>
      <c r="K324" s="34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18"/>
    </row>
    <row r="325" spans="1:24" x14ac:dyDescent="0.35">
      <c r="A325" s="18"/>
      <c r="B325" s="20"/>
      <c r="C325" s="28"/>
      <c r="D325" s="28"/>
      <c r="E325" s="28"/>
      <c r="F325" s="28"/>
      <c r="G325" s="28"/>
      <c r="H325" s="31"/>
      <c r="I325" s="32"/>
      <c r="J325" s="33"/>
      <c r="K325" s="34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18"/>
    </row>
    <row r="326" spans="1:24" x14ac:dyDescent="0.35">
      <c r="A326" s="18"/>
      <c r="B326" s="20"/>
      <c r="C326" s="28"/>
      <c r="D326" s="28"/>
      <c r="E326" s="28"/>
      <c r="F326" s="28"/>
      <c r="G326" s="28"/>
      <c r="H326" s="31"/>
      <c r="I326" s="32"/>
      <c r="J326" s="33"/>
      <c r="K326" s="34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18"/>
    </row>
    <row r="327" spans="1:24" x14ac:dyDescent="0.35">
      <c r="A327" s="18"/>
      <c r="B327" s="20"/>
      <c r="C327" s="28"/>
      <c r="D327" s="28"/>
      <c r="E327" s="28"/>
      <c r="F327" s="28"/>
      <c r="G327" s="28"/>
      <c r="H327" s="31"/>
      <c r="I327" s="32"/>
      <c r="J327" s="33"/>
      <c r="K327" s="34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18"/>
    </row>
    <row r="328" spans="1:24" x14ac:dyDescent="0.35">
      <c r="A328" s="18"/>
      <c r="B328" s="20"/>
      <c r="C328" s="28"/>
      <c r="D328" s="28"/>
      <c r="E328" s="28"/>
      <c r="F328" s="28"/>
      <c r="G328" s="28"/>
      <c r="H328" s="31"/>
      <c r="I328" s="32"/>
      <c r="J328" s="33"/>
      <c r="K328" s="34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18"/>
    </row>
    <row r="329" spans="1:24" x14ac:dyDescent="0.35">
      <c r="A329" s="18"/>
      <c r="B329" s="20"/>
      <c r="C329" s="28"/>
      <c r="D329" s="28"/>
      <c r="E329" s="28"/>
      <c r="F329" s="28"/>
      <c r="G329" s="28"/>
      <c r="H329" s="31"/>
      <c r="I329" s="32"/>
      <c r="J329" s="33"/>
      <c r="K329" s="34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18"/>
    </row>
    <row r="330" spans="1:24" x14ac:dyDescent="0.35">
      <c r="A330" s="18"/>
      <c r="B330" s="20"/>
      <c r="C330" s="28"/>
      <c r="D330" s="28"/>
      <c r="E330" s="28"/>
      <c r="F330" s="28"/>
      <c r="G330" s="28"/>
      <c r="H330" s="31"/>
      <c r="I330" s="32"/>
      <c r="J330" s="33"/>
      <c r="K330" s="34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18"/>
    </row>
    <row r="331" spans="1:24" x14ac:dyDescent="0.35">
      <c r="A331" s="18"/>
      <c r="B331" s="20"/>
      <c r="C331" s="28"/>
      <c r="D331" s="28"/>
      <c r="E331" s="28"/>
      <c r="F331" s="28"/>
      <c r="G331" s="28"/>
      <c r="H331" s="31"/>
      <c r="I331" s="32"/>
      <c r="J331" s="33"/>
      <c r="K331" s="34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18"/>
    </row>
    <row r="332" spans="1:24" x14ac:dyDescent="0.35">
      <c r="A332" s="18"/>
      <c r="B332" s="20"/>
      <c r="C332" s="28"/>
      <c r="D332" s="28"/>
      <c r="E332" s="28"/>
      <c r="F332" s="28"/>
      <c r="G332" s="28"/>
      <c r="H332" s="31"/>
      <c r="I332" s="32"/>
      <c r="J332" s="33"/>
      <c r="K332" s="34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18"/>
    </row>
    <row r="333" spans="1:24" x14ac:dyDescent="0.35">
      <c r="A333" s="18"/>
      <c r="B333" s="20"/>
      <c r="C333" s="28"/>
      <c r="D333" s="28"/>
      <c r="E333" s="28"/>
      <c r="F333" s="28"/>
      <c r="G333" s="28"/>
      <c r="H333" s="31"/>
      <c r="I333" s="32"/>
      <c r="J333" s="33"/>
      <c r="K333" s="34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18"/>
    </row>
    <row r="334" spans="1:24" x14ac:dyDescent="0.35">
      <c r="A334" s="18"/>
      <c r="B334" s="20"/>
      <c r="C334" s="28"/>
      <c r="D334" s="28"/>
      <c r="E334" s="28"/>
      <c r="F334" s="28"/>
      <c r="G334" s="28"/>
      <c r="H334" s="31"/>
      <c r="I334" s="32"/>
      <c r="J334" s="33"/>
      <c r="K334" s="34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18"/>
    </row>
    <row r="335" spans="1:24" x14ac:dyDescent="0.35">
      <c r="A335" s="18"/>
      <c r="B335" s="20"/>
      <c r="C335" s="28"/>
      <c r="D335" s="28"/>
      <c r="E335" s="28"/>
      <c r="F335" s="28"/>
      <c r="G335" s="28"/>
      <c r="H335" s="31"/>
      <c r="I335" s="32"/>
      <c r="J335" s="33"/>
      <c r="K335" s="34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18"/>
    </row>
    <row r="336" spans="1:24" x14ac:dyDescent="0.35">
      <c r="A336" s="18"/>
      <c r="B336" s="20"/>
      <c r="C336" s="28"/>
      <c r="D336" s="28"/>
      <c r="E336" s="28"/>
      <c r="F336" s="28"/>
      <c r="G336" s="28"/>
      <c r="H336" s="31"/>
      <c r="I336" s="32"/>
      <c r="J336" s="33"/>
      <c r="K336" s="34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18"/>
    </row>
    <row r="337" spans="1:24" x14ac:dyDescent="0.35">
      <c r="A337" s="18"/>
      <c r="B337" s="20"/>
      <c r="C337" s="28"/>
      <c r="D337" s="28"/>
      <c r="E337" s="28"/>
      <c r="F337" s="28"/>
      <c r="G337" s="28"/>
      <c r="H337" s="31"/>
      <c r="I337" s="32"/>
      <c r="J337" s="33"/>
      <c r="K337" s="34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18"/>
    </row>
    <row r="338" spans="1:24" x14ac:dyDescent="0.35">
      <c r="A338" s="18"/>
      <c r="B338" s="20"/>
      <c r="C338" s="28"/>
      <c r="D338" s="28"/>
      <c r="E338" s="28"/>
      <c r="F338" s="28"/>
      <c r="G338" s="28"/>
      <c r="H338" s="31"/>
      <c r="I338" s="32"/>
      <c r="J338" s="33"/>
      <c r="K338" s="34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18"/>
    </row>
    <row r="339" spans="1:24" x14ac:dyDescent="0.35">
      <c r="A339" s="18"/>
      <c r="B339" s="20"/>
      <c r="C339" s="28"/>
      <c r="D339" s="28"/>
      <c r="E339" s="28"/>
      <c r="F339" s="28"/>
      <c r="G339" s="28"/>
      <c r="H339" s="31"/>
      <c r="I339" s="32"/>
      <c r="J339" s="33"/>
      <c r="K339" s="34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18"/>
    </row>
    <row r="340" spans="1:24" x14ac:dyDescent="0.35">
      <c r="A340" s="18"/>
      <c r="B340" s="20"/>
      <c r="C340" s="28"/>
      <c r="D340" s="28"/>
      <c r="E340" s="28"/>
      <c r="F340" s="28"/>
      <c r="G340" s="28"/>
      <c r="H340" s="31"/>
      <c r="I340" s="32"/>
      <c r="J340" s="33"/>
      <c r="K340" s="34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18"/>
    </row>
    <row r="341" spans="1:24" x14ac:dyDescent="0.35">
      <c r="A341" s="18"/>
      <c r="B341" s="20"/>
      <c r="C341" s="28"/>
      <c r="D341" s="28"/>
      <c r="E341" s="28"/>
      <c r="F341" s="28"/>
      <c r="G341" s="28"/>
      <c r="H341" s="31"/>
      <c r="I341" s="32"/>
      <c r="J341" s="33"/>
      <c r="K341" s="34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18"/>
    </row>
    <row r="342" spans="1:24" x14ac:dyDescent="0.35">
      <c r="A342" s="18"/>
      <c r="B342" s="20"/>
      <c r="C342" s="28"/>
      <c r="D342" s="28"/>
      <c r="E342" s="28"/>
      <c r="F342" s="28"/>
      <c r="G342" s="28"/>
      <c r="H342" s="31"/>
      <c r="I342" s="32"/>
      <c r="J342" s="33"/>
      <c r="K342" s="34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18"/>
    </row>
    <row r="343" spans="1:24" x14ac:dyDescent="0.35">
      <c r="A343" s="18"/>
      <c r="B343" s="20"/>
      <c r="C343" s="28"/>
      <c r="D343" s="28"/>
      <c r="E343" s="28"/>
      <c r="F343" s="28"/>
      <c r="G343" s="28"/>
      <c r="H343" s="31"/>
      <c r="I343" s="32"/>
      <c r="J343" s="33"/>
      <c r="K343" s="34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18"/>
    </row>
    <row r="344" spans="1:24" x14ac:dyDescent="0.35">
      <c r="A344" s="18"/>
      <c r="B344" s="20"/>
      <c r="C344" s="28"/>
      <c r="D344" s="28"/>
      <c r="E344" s="28"/>
      <c r="F344" s="28"/>
      <c r="G344" s="28"/>
      <c r="H344" s="31"/>
      <c r="I344" s="32"/>
      <c r="J344" s="33"/>
      <c r="K344" s="34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18"/>
    </row>
    <row r="345" spans="1:24" x14ac:dyDescent="0.35">
      <c r="A345" s="18"/>
      <c r="B345" s="20"/>
      <c r="C345" s="28"/>
      <c r="D345" s="28"/>
      <c r="E345" s="28"/>
      <c r="F345" s="28"/>
      <c r="G345" s="28"/>
      <c r="H345" s="31"/>
      <c r="I345" s="32"/>
      <c r="J345" s="33"/>
      <c r="K345" s="34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18"/>
    </row>
    <row r="346" spans="1:24" x14ac:dyDescent="0.35">
      <c r="A346" s="18"/>
      <c r="B346" s="20"/>
      <c r="C346" s="28"/>
      <c r="D346" s="28"/>
      <c r="E346" s="28"/>
      <c r="F346" s="28"/>
      <c r="G346" s="28"/>
      <c r="H346" s="31"/>
      <c r="I346" s="32"/>
      <c r="J346" s="33"/>
      <c r="K346" s="34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18"/>
    </row>
    <row r="347" spans="1:24" x14ac:dyDescent="0.35">
      <c r="A347" s="18"/>
      <c r="B347" s="20"/>
      <c r="C347" s="28"/>
      <c r="D347" s="28"/>
      <c r="E347" s="28"/>
      <c r="F347" s="28"/>
      <c r="G347" s="28"/>
      <c r="H347" s="31"/>
      <c r="I347" s="32"/>
      <c r="J347" s="33"/>
      <c r="K347" s="34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18"/>
    </row>
    <row r="348" spans="1:24" x14ac:dyDescent="0.35">
      <c r="A348" s="18"/>
      <c r="B348" s="20"/>
      <c r="C348" s="28"/>
      <c r="D348" s="28"/>
      <c r="E348" s="28"/>
      <c r="F348" s="28"/>
      <c r="G348" s="28"/>
      <c r="H348" s="31"/>
      <c r="I348" s="32"/>
      <c r="J348" s="33"/>
      <c r="K348" s="34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18"/>
    </row>
    <row r="349" spans="1:24" x14ac:dyDescent="0.35">
      <c r="A349" s="18"/>
      <c r="B349" s="20"/>
      <c r="C349" s="28"/>
      <c r="D349" s="28"/>
      <c r="E349" s="28"/>
      <c r="F349" s="28"/>
      <c r="G349" s="28"/>
      <c r="H349" s="31"/>
      <c r="I349" s="32"/>
      <c r="J349" s="33"/>
      <c r="K349" s="34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18"/>
    </row>
    <row r="350" spans="1:24" x14ac:dyDescent="0.35">
      <c r="A350" s="18"/>
      <c r="B350" s="20"/>
      <c r="C350" s="28"/>
      <c r="D350" s="28"/>
      <c r="E350" s="28"/>
      <c r="F350" s="28"/>
      <c r="G350" s="28"/>
      <c r="H350" s="31"/>
      <c r="I350" s="32"/>
      <c r="J350" s="33"/>
      <c r="K350" s="34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18"/>
    </row>
    <row r="351" spans="1:24" x14ac:dyDescent="0.35">
      <c r="A351" s="18"/>
      <c r="B351" s="20"/>
      <c r="C351" s="28"/>
      <c r="D351" s="28"/>
      <c r="E351" s="28"/>
      <c r="F351" s="28"/>
      <c r="G351" s="28"/>
      <c r="H351" s="31"/>
      <c r="I351" s="32"/>
      <c r="J351" s="33"/>
      <c r="K351" s="34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18"/>
    </row>
    <row r="352" spans="1:24" x14ac:dyDescent="0.35">
      <c r="A352" s="18"/>
      <c r="B352" s="20"/>
      <c r="C352" s="28"/>
      <c r="D352" s="28"/>
      <c r="E352" s="28"/>
      <c r="F352" s="28"/>
      <c r="G352" s="28"/>
      <c r="H352" s="31"/>
      <c r="I352" s="32"/>
      <c r="J352" s="33"/>
      <c r="K352" s="34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18"/>
    </row>
    <row r="353" spans="1:24" x14ac:dyDescent="0.35">
      <c r="A353" s="18"/>
      <c r="B353" s="20"/>
      <c r="C353" s="28"/>
      <c r="D353" s="28"/>
      <c r="E353" s="28"/>
      <c r="F353" s="28"/>
      <c r="G353" s="28"/>
      <c r="H353" s="31"/>
      <c r="I353" s="32"/>
      <c r="J353" s="33"/>
      <c r="K353" s="34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18"/>
    </row>
    <row r="354" spans="1:24" x14ac:dyDescent="0.35">
      <c r="A354" s="18"/>
      <c r="B354" s="20"/>
      <c r="C354" s="28"/>
      <c r="D354" s="28"/>
      <c r="E354" s="28"/>
      <c r="F354" s="28"/>
      <c r="G354" s="28"/>
      <c r="H354" s="31"/>
      <c r="I354" s="32"/>
      <c r="J354" s="33"/>
      <c r="K354" s="34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18"/>
    </row>
    <row r="355" spans="1:24" x14ac:dyDescent="0.35">
      <c r="A355" s="18"/>
      <c r="B355" s="20"/>
      <c r="C355" s="28"/>
      <c r="D355" s="28"/>
      <c r="E355" s="28"/>
      <c r="F355" s="28"/>
      <c r="G355" s="28"/>
      <c r="H355" s="31"/>
      <c r="I355" s="32"/>
      <c r="J355" s="33"/>
      <c r="K355" s="34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18"/>
    </row>
    <row r="356" spans="1:24" x14ac:dyDescent="0.35">
      <c r="A356" s="18"/>
      <c r="B356" s="20"/>
      <c r="C356" s="28"/>
      <c r="D356" s="28"/>
      <c r="E356" s="28"/>
      <c r="F356" s="28"/>
      <c r="G356" s="28"/>
      <c r="H356" s="31"/>
      <c r="I356" s="32"/>
      <c r="J356" s="33"/>
      <c r="K356" s="34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18"/>
    </row>
    <row r="357" spans="1:24" x14ac:dyDescent="0.35">
      <c r="A357" s="18"/>
      <c r="B357" s="20"/>
      <c r="C357" s="28"/>
      <c r="D357" s="28"/>
      <c r="E357" s="28"/>
      <c r="F357" s="28"/>
      <c r="G357" s="28"/>
      <c r="H357" s="31"/>
      <c r="I357" s="32"/>
      <c r="J357" s="33"/>
      <c r="K357" s="34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18"/>
    </row>
    <row r="358" spans="1:24" x14ac:dyDescent="0.35">
      <c r="A358" s="18"/>
      <c r="B358" s="20"/>
      <c r="C358" s="28"/>
      <c r="D358" s="28"/>
      <c r="E358" s="28"/>
      <c r="F358" s="28"/>
      <c r="G358" s="28"/>
      <c r="H358" s="31"/>
      <c r="I358" s="32"/>
      <c r="J358" s="33"/>
      <c r="K358" s="34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18"/>
    </row>
    <row r="359" spans="1:24" x14ac:dyDescent="0.35">
      <c r="A359" s="18"/>
      <c r="B359" s="20"/>
      <c r="C359" s="28"/>
      <c r="D359" s="28"/>
      <c r="E359" s="28"/>
      <c r="F359" s="28"/>
      <c r="G359" s="28"/>
      <c r="H359" s="31"/>
      <c r="I359" s="32"/>
      <c r="J359" s="33"/>
      <c r="K359" s="34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18"/>
    </row>
    <row r="360" spans="1:24" x14ac:dyDescent="0.35">
      <c r="A360" s="18"/>
      <c r="B360" s="20"/>
      <c r="C360" s="28"/>
      <c r="D360" s="28"/>
      <c r="E360" s="28"/>
      <c r="F360" s="28"/>
      <c r="G360" s="28"/>
      <c r="H360" s="31"/>
      <c r="I360" s="32"/>
      <c r="J360" s="33"/>
      <c r="K360" s="34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18"/>
    </row>
    <row r="361" spans="1:24" x14ac:dyDescent="0.35">
      <c r="A361" s="18"/>
      <c r="B361" s="20"/>
      <c r="C361" s="28"/>
      <c r="D361" s="28"/>
      <c r="E361" s="28"/>
      <c r="F361" s="28"/>
      <c r="G361" s="28"/>
      <c r="H361" s="31"/>
      <c r="I361" s="32"/>
      <c r="J361" s="33"/>
      <c r="K361" s="34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18"/>
    </row>
    <row r="362" spans="1:24" x14ac:dyDescent="0.35">
      <c r="A362" s="18"/>
      <c r="B362" s="20"/>
      <c r="C362" s="28"/>
      <c r="D362" s="28"/>
      <c r="E362" s="28"/>
      <c r="F362" s="28"/>
      <c r="G362" s="28"/>
      <c r="H362" s="31"/>
      <c r="I362" s="32"/>
      <c r="J362" s="33"/>
      <c r="K362" s="34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18"/>
    </row>
    <row r="363" spans="1:24" x14ac:dyDescent="0.35">
      <c r="A363" s="18"/>
      <c r="B363" s="20"/>
      <c r="C363" s="28"/>
      <c r="D363" s="28"/>
      <c r="E363" s="28"/>
      <c r="F363" s="28"/>
      <c r="G363" s="28"/>
      <c r="H363" s="31"/>
      <c r="I363" s="32"/>
      <c r="J363" s="33"/>
      <c r="K363" s="34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18"/>
    </row>
    <row r="364" spans="1:24" x14ac:dyDescent="0.35">
      <c r="A364" s="18"/>
      <c r="B364" s="20"/>
      <c r="C364" s="28"/>
      <c r="D364" s="28"/>
      <c r="E364" s="28"/>
      <c r="F364" s="28"/>
      <c r="G364" s="28"/>
      <c r="H364" s="31"/>
      <c r="I364" s="32"/>
      <c r="J364" s="33"/>
      <c r="K364" s="34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18"/>
    </row>
    <row r="365" spans="1:24" x14ac:dyDescent="0.35">
      <c r="A365" s="18"/>
      <c r="B365" s="20"/>
      <c r="C365" s="28"/>
      <c r="D365" s="28"/>
      <c r="E365" s="28"/>
      <c r="F365" s="28"/>
      <c r="G365" s="28"/>
      <c r="H365" s="31"/>
      <c r="I365" s="32"/>
      <c r="J365" s="33"/>
      <c r="K365" s="34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18"/>
    </row>
    <row r="366" spans="1:24" x14ac:dyDescent="0.35">
      <c r="A366" s="18"/>
      <c r="B366" s="20"/>
      <c r="C366" s="28"/>
      <c r="D366" s="28"/>
      <c r="E366" s="28"/>
      <c r="F366" s="28"/>
      <c r="G366" s="28"/>
      <c r="H366" s="31"/>
      <c r="I366" s="32"/>
      <c r="J366" s="33"/>
      <c r="K366" s="34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18"/>
    </row>
    <row r="367" spans="1:24" x14ac:dyDescent="0.35">
      <c r="A367" s="18"/>
      <c r="B367" s="20"/>
      <c r="C367" s="28"/>
      <c r="D367" s="28"/>
      <c r="E367" s="28"/>
      <c r="F367" s="28"/>
      <c r="G367" s="28"/>
      <c r="H367" s="31"/>
      <c r="I367" s="32"/>
      <c r="J367" s="33"/>
      <c r="K367" s="34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18"/>
    </row>
    <row r="368" spans="1:24" x14ac:dyDescent="0.35">
      <c r="A368" s="18"/>
      <c r="B368" s="20"/>
      <c r="C368" s="28"/>
      <c r="D368" s="28"/>
      <c r="E368" s="28"/>
      <c r="F368" s="28"/>
      <c r="G368" s="28"/>
      <c r="H368" s="31"/>
      <c r="I368" s="32"/>
      <c r="J368" s="33"/>
      <c r="K368" s="34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18"/>
    </row>
    <row r="369" spans="1:24" x14ac:dyDescent="0.35">
      <c r="A369" s="18"/>
      <c r="B369" s="20"/>
      <c r="C369" s="28"/>
      <c r="D369" s="28"/>
      <c r="E369" s="28"/>
      <c r="F369" s="28"/>
      <c r="G369" s="28"/>
      <c r="H369" s="31"/>
      <c r="I369" s="32"/>
      <c r="J369" s="33"/>
      <c r="K369" s="34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18"/>
    </row>
    <row r="370" spans="1:24" x14ac:dyDescent="0.35">
      <c r="A370" s="18"/>
      <c r="B370" s="20"/>
      <c r="C370" s="28"/>
      <c r="D370" s="28"/>
      <c r="E370" s="28"/>
      <c r="F370" s="28"/>
      <c r="G370" s="28"/>
      <c r="H370" s="31"/>
      <c r="I370" s="32"/>
      <c r="J370" s="33"/>
      <c r="K370" s="34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18"/>
    </row>
    <row r="371" spans="1:24" x14ac:dyDescent="0.35">
      <c r="A371" s="18"/>
      <c r="B371" s="20"/>
      <c r="C371" s="28"/>
      <c r="D371" s="28"/>
      <c r="E371" s="28"/>
      <c r="F371" s="28"/>
      <c r="G371" s="28"/>
      <c r="H371" s="31"/>
      <c r="I371" s="32"/>
      <c r="J371" s="33"/>
      <c r="K371" s="34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18"/>
    </row>
    <row r="372" spans="1:24" x14ac:dyDescent="0.35">
      <c r="A372" s="18"/>
      <c r="B372" s="20"/>
      <c r="C372" s="28"/>
      <c r="D372" s="28"/>
      <c r="E372" s="28"/>
      <c r="F372" s="28"/>
      <c r="G372" s="28"/>
      <c r="H372" s="31"/>
      <c r="I372" s="32"/>
      <c r="J372" s="33"/>
      <c r="K372" s="34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18"/>
    </row>
    <row r="373" spans="1:24" x14ac:dyDescent="0.35">
      <c r="A373" s="18"/>
      <c r="B373" s="20"/>
      <c r="C373" s="28"/>
      <c r="D373" s="28"/>
      <c r="E373" s="28"/>
      <c r="F373" s="28"/>
      <c r="G373" s="28"/>
      <c r="H373" s="31"/>
      <c r="I373" s="32"/>
      <c r="J373" s="33"/>
      <c r="K373" s="34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18"/>
    </row>
    <row r="374" spans="1:24" x14ac:dyDescent="0.35">
      <c r="A374" s="18"/>
      <c r="B374" s="20"/>
      <c r="C374" s="28"/>
      <c r="D374" s="28"/>
      <c r="E374" s="28"/>
      <c r="F374" s="28"/>
      <c r="G374" s="28"/>
      <c r="H374" s="31"/>
      <c r="I374" s="32"/>
      <c r="J374" s="33"/>
      <c r="K374" s="34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18"/>
    </row>
    <row r="375" spans="1:24" x14ac:dyDescent="0.35">
      <c r="A375" s="18"/>
      <c r="B375" s="20"/>
      <c r="C375" s="28"/>
      <c r="D375" s="28"/>
      <c r="E375" s="28"/>
      <c r="F375" s="28"/>
      <c r="G375" s="28"/>
      <c r="H375" s="31"/>
      <c r="I375" s="32"/>
      <c r="J375" s="33"/>
      <c r="K375" s="34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18"/>
    </row>
    <row r="376" spans="1:24" x14ac:dyDescent="0.35">
      <c r="A376" s="18"/>
      <c r="B376" s="20"/>
      <c r="C376" s="28"/>
      <c r="D376" s="28"/>
      <c r="E376" s="28"/>
      <c r="F376" s="28"/>
      <c r="G376" s="28"/>
      <c r="H376" s="31"/>
      <c r="I376" s="32"/>
      <c r="J376" s="33"/>
      <c r="K376" s="34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18"/>
    </row>
    <row r="377" spans="1:24" x14ac:dyDescent="0.35">
      <c r="A377" s="18"/>
      <c r="B377" s="20"/>
      <c r="C377" s="28"/>
      <c r="D377" s="28"/>
      <c r="E377" s="28"/>
      <c r="F377" s="28"/>
      <c r="G377" s="28"/>
      <c r="H377" s="31"/>
      <c r="I377" s="32"/>
      <c r="J377" s="33"/>
      <c r="K377" s="34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18"/>
    </row>
    <row r="378" spans="1:24" x14ac:dyDescent="0.35">
      <c r="A378" s="18"/>
      <c r="B378" s="20"/>
      <c r="C378" s="28"/>
      <c r="D378" s="28"/>
      <c r="E378" s="28"/>
      <c r="F378" s="28"/>
      <c r="G378" s="28"/>
      <c r="H378" s="31"/>
      <c r="I378" s="32"/>
      <c r="J378" s="33"/>
      <c r="K378" s="34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18"/>
    </row>
    <row r="379" spans="1:24" x14ac:dyDescent="0.35">
      <c r="A379" s="18"/>
      <c r="B379" s="20"/>
      <c r="C379" s="28"/>
      <c r="D379" s="28"/>
      <c r="E379" s="28"/>
      <c r="F379" s="28"/>
      <c r="G379" s="28"/>
      <c r="H379" s="31"/>
      <c r="I379" s="32"/>
      <c r="J379" s="33"/>
      <c r="K379" s="34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18"/>
    </row>
    <row r="380" spans="1:24" x14ac:dyDescent="0.35">
      <c r="A380" s="18"/>
      <c r="B380" s="20"/>
      <c r="C380" s="28"/>
      <c r="D380" s="28"/>
      <c r="E380" s="28"/>
      <c r="F380" s="28"/>
      <c r="G380" s="28"/>
      <c r="H380" s="31"/>
      <c r="I380" s="32"/>
      <c r="J380" s="33"/>
      <c r="K380" s="34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18"/>
    </row>
    <row r="381" spans="1:24" x14ac:dyDescent="0.35">
      <c r="A381" s="18"/>
      <c r="B381" s="20"/>
      <c r="C381" s="28"/>
      <c r="D381" s="28"/>
      <c r="E381" s="28"/>
      <c r="F381" s="28"/>
      <c r="G381" s="28"/>
      <c r="H381" s="31"/>
      <c r="I381" s="32"/>
      <c r="J381" s="33"/>
      <c r="K381" s="34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18"/>
    </row>
    <row r="382" spans="1:24" x14ac:dyDescent="0.35">
      <c r="A382" s="18"/>
      <c r="B382" s="20"/>
      <c r="C382" s="28"/>
      <c r="D382" s="28"/>
      <c r="E382" s="28"/>
      <c r="F382" s="28"/>
      <c r="G382" s="28"/>
      <c r="H382" s="31"/>
      <c r="I382" s="32"/>
      <c r="J382" s="33"/>
      <c r="K382" s="34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18"/>
    </row>
    <row r="383" spans="1:24" x14ac:dyDescent="0.35">
      <c r="A383" s="18"/>
      <c r="B383" s="20"/>
      <c r="C383" s="28"/>
      <c r="D383" s="28"/>
      <c r="E383" s="28"/>
      <c r="F383" s="28"/>
      <c r="G383" s="28"/>
      <c r="H383" s="31"/>
      <c r="I383" s="32"/>
      <c r="J383" s="33"/>
      <c r="K383" s="34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18"/>
    </row>
    <row r="384" spans="1:24" x14ac:dyDescent="0.35">
      <c r="A384" s="18"/>
      <c r="B384" s="20"/>
      <c r="C384" s="28"/>
      <c r="D384" s="28"/>
      <c r="E384" s="28"/>
      <c r="F384" s="28"/>
      <c r="G384" s="28"/>
      <c r="H384" s="31"/>
      <c r="I384" s="32"/>
      <c r="J384" s="33"/>
      <c r="K384" s="34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18"/>
    </row>
    <row r="385" spans="1:24" x14ac:dyDescent="0.35">
      <c r="A385" s="18"/>
      <c r="B385" s="20"/>
      <c r="C385" s="28"/>
      <c r="D385" s="28"/>
      <c r="E385" s="28"/>
      <c r="F385" s="28"/>
      <c r="G385" s="28"/>
      <c r="H385" s="31"/>
      <c r="I385" s="32"/>
      <c r="J385" s="33"/>
      <c r="K385" s="34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18"/>
    </row>
    <row r="386" spans="1:24" x14ac:dyDescent="0.35">
      <c r="A386" s="18"/>
      <c r="B386" s="20"/>
      <c r="C386" s="28"/>
      <c r="D386" s="28"/>
      <c r="E386" s="28"/>
      <c r="F386" s="28"/>
      <c r="G386" s="28"/>
      <c r="H386" s="31"/>
      <c r="I386" s="32"/>
      <c r="J386" s="33"/>
      <c r="K386" s="34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18"/>
    </row>
    <row r="387" spans="1:24" x14ac:dyDescent="0.35">
      <c r="A387" s="18"/>
      <c r="B387" s="20"/>
      <c r="C387" s="28"/>
      <c r="D387" s="28"/>
      <c r="E387" s="28"/>
      <c r="F387" s="28"/>
      <c r="G387" s="28"/>
      <c r="H387" s="31"/>
      <c r="I387" s="32"/>
      <c r="J387" s="33"/>
      <c r="K387" s="34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18"/>
    </row>
    <row r="388" spans="1:24" x14ac:dyDescent="0.35">
      <c r="A388" s="18"/>
      <c r="B388" s="20"/>
      <c r="C388" s="28"/>
      <c r="D388" s="28"/>
      <c r="E388" s="28"/>
      <c r="F388" s="28"/>
      <c r="G388" s="28"/>
      <c r="H388" s="31"/>
      <c r="I388" s="32"/>
      <c r="J388" s="33"/>
      <c r="K388" s="34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18"/>
    </row>
    <row r="389" spans="1:24" x14ac:dyDescent="0.35">
      <c r="A389" s="18"/>
      <c r="B389" s="20"/>
      <c r="C389" s="28"/>
      <c r="D389" s="28"/>
      <c r="E389" s="28"/>
      <c r="F389" s="28"/>
      <c r="G389" s="28"/>
      <c r="H389" s="31"/>
      <c r="I389" s="32"/>
      <c r="J389" s="33"/>
      <c r="K389" s="34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18"/>
    </row>
    <row r="390" spans="1:24" x14ac:dyDescent="0.35">
      <c r="A390" s="18"/>
      <c r="B390" s="20"/>
      <c r="C390" s="28"/>
      <c r="D390" s="28"/>
      <c r="E390" s="28"/>
      <c r="F390" s="28"/>
      <c r="G390" s="28"/>
      <c r="H390" s="31"/>
      <c r="I390" s="32"/>
      <c r="J390" s="33"/>
      <c r="K390" s="34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18"/>
    </row>
    <row r="391" spans="1:24" x14ac:dyDescent="0.35">
      <c r="A391" s="18"/>
      <c r="B391" s="20"/>
      <c r="C391" s="28"/>
      <c r="D391" s="28"/>
      <c r="E391" s="28"/>
      <c r="F391" s="28"/>
      <c r="G391" s="28"/>
      <c r="H391" s="31"/>
      <c r="I391" s="32"/>
      <c r="J391" s="33"/>
      <c r="K391" s="34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18"/>
    </row>
    <row r="392" spans="1:24" x14ac:dyDescent="0.35">
      <c r="A392" s="18"/>
      <c r="B392" s="20"/>
      <c r="C392" s="28"/>
      <c r="D392" s="28"/>
      <c r="E392" s="28"/>
      <c r="F392" s="28"/>
      <c r="G392" s="28"/>
      <c r="H392" s="31"/>
      <c r="I392" s="32"/>
      <c r="J392" s="33"/>
      <c r="K392" s="34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18"/>
    </row>
    <row r="393" spans="1:24" x14ac:dyDescent="0.35">
      <c r="A393" s="18"/>
      <c r="B393" s="20"/>
      <c r="C393" s="28"/>
      <c r="D393" s="28"/>
      <c r="E393" s="28"/>
      <c r="F393" s="28"/>
      <c r="G393" s="28"/>
      <c r="H393" s="31"/>
      <c r="I393" s="32"/>
      <c r="J393" s="33"/>
      <c r="K393" s="34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18"/>
    </row>
    <row r="394" spans="1:24" x14ac:dyDescent="0.35">
      <c r="A394" s="18"/>
      <c r="B394" s="20"/>
      <c r="C394" s="28"/>
      <c r="D394" s="28"/>
      <c r="E394" s="28"/>
      <c r="F394" s="28"/>
      <c r="G394" s="28"/>
      <c r="H394" s="31"/>
      <c r="I394" s="32"/>
      <c r="J394" s="33"/>
      <c r="K394" s="34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18"/>
    </row>
    <row r="395" spans="1:24" x14ac:dyDescent="0.35">
      <c r="A395" s="18"/>
      <c r="B395" s="20"/>
      <c r="C395" s="28"/>
      <c r="D395" s="28"/>
      <c r="E395" s="28"/>
      <c r="F395" s="28"/>
      <c r="G395" s="28"/>
      <c r="H395" s="31"/>
      <c r="I395" s="32"/>
      <c r="J395" s="33"/>
      <c r="K395" s="34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18"/>
    </row>
    <row r="396" spans="1:24" x14ac:dyDescent="0.35">
      <c r="A396" s="18"/>
      <c r="B396" s="20"/>
      <c r="C396" s="28"/>
      <c r="D396" s="28"/>
      <c r="E396" s="28"/>
      <c r="F396" s="28"/>
      <c r="G396" s="28"/>
      <c r="H396" s="31"/>
      <c r="I396" s="32"/>
      <c r="J396" s="33"/>
      <c r="K396" s="34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18"/>
    </row>
    <row r="397" spans="1:24" x14ac:dyDescent="0.35">
      <c r="A397" s="18"/>
      <c r="B397" s="20"/>
      <c r="C397" s="28"/>
      <c r="D397" s="28"/>
      <c r="E397" s="28"/>
      <c r="F397" s="28"/>
      <c r="G397" s="28"/>
      <c r="H397" s="31"/>
      <c r="I397" s="32"/>
      <c r="J397" s="33"/>
      <c r="K397" s="34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18"/>
    </row>
    <row r="398" spans="1:24" x14ac:dyDescent="0.35">
      <c r="A398" s="18"/>
      <c r="B398" s="20"/>
      <c r="C398" s="28"/>
      <c r="D398" s="28"/>
      <c r="E398" s="28"/>
      <c r="F398" s="28"/>
      <c r="G398" s="28"/>
      <c r="H398" s="31"/>
      <c r="I398" s="32"/>
      <c r="J398" s="33"/>
      <c r="K398" s="34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18"/>
    </row>
    <row r="399" spans="1:24" x14ac:dyDescent="0.35">
      <c r="A399" s="18"/>
      <c r="B399" s="20"/>
      <c r="C399" s="28"/>
      <c r="D399" s="28"/>
      <c r="E399" s="28"/>
      <c r="F399" s="28"/>
      <c r="G399" s="28"/>
      <c r="H399" s="31"/>
      <c r="I399" s="32"/>
      <c r="J399" s="33"/>
      <c r="K399" s="34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18"/>
    </row>
    <row r="400" spans="1:24" x14ac:dyDescent="0.35">
      <c r="A400" s="18"/>
      <c r="B400" s="20"/>
      <c r="C400" s="28"/>
      <c r="D400" s="28"/>
      <c r="E400" s="28"/>
      <c r="F400" s="28"/>
      <c r="G400" s="28"/>
      <c r="H400" s="31"/>
      <c r="I400" s="32"/>
      <c r="J400" s="33"/>
      <c r="K400" s="34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18"/>
    </row>
    <row r="401" spans="1:24" x14ac:dyDescent="0.35">
      <c r="A401" s="18"/>
      <c r="B401" s="20"/>
      <c r="C401" s="28"/>
      <c r="D401" s="28"/>
      <c r="E401" s="28"/>
      <c r="F401" s="28"/>
      <c r="G401" s="28"/>
      <c r="H401" s="31"/>
      <c r="I401" s="32"/>
      <c r="J401" s="33"/>
      <c r="K401" s="34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18"/>
    </row>
    <row r="402" spans="1:24" x14ac:dyDescent="0.35">
      <c r="A402" s="18"/>
      <c r="B402" s="20"/>
      <c r="C402" s="28"/>
      <c r="D402" s="28"/>
      <c r="E402" s="28"/>
      <c r="F402" s="28"/>
      <c r="G402" s="28"/>
      <c r="H402" s="31"/>
      <c r="I402" s="32"/>
      <c r="J402" s="33"/>
      <c r="K402" s="34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18"/>
    </row>
    <row r="403" spans="1:24" x14ac:dyDescent="0.35">
      <c r="A403" s="18"/>
      <c r="B403" s="20"/>
      <c r="C403" s="28"/>
      <c r="D403" s="28"/>
      <c r="E403" s="28"/>
      <c r="F403" s="28"/>
      <c r="G403" s="28"/>
      <c r="H403" s="31"/>
      <c r="I403" s="32"/>
      <c r="J403" s="33"/>
      <c r="K403" s="34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18"/>
    </row>
    <row r="404" spans="1:24" x14ac:dyDescent="0.35">
      <c r="A404" s="18"/>
      <c r="B404" s="20"/>
      <c r="C404" s="28"/>
      <c r="D404" s="28"/>
      <c r="E404" s="28"/>
      <c r="F404" s="28"/>
      <c r="G404" s="28"/>
      <c r="H404" s="31"/>
      <c r="I404" s="32"/>
      <c r="J404" s="33"/>
      <c r="K404" s="34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18"/>
    </row>
    <row r="405" spans="1:24" x14ac:dyDescent="0.35">
      <c r="A405" s="18"/>
      <c r="B405" s="20"/>
      <c r="C405" s="28"/>
      <c r="D405" s="28"/>
      <c r="E405" s="28"/>
      <c r="F405" s="28"/>
      <c r="G405" s="28"/>
      <c r="H405" s="31"/>
      <c r="I405" s="32"/>
      <c r="J405" s="33"/>
      <c r="K405" s="34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18"/>
    </row>
    <row r="406" spans="1:24" x14ac:dyDescent="0.35">
      <c r="A406" s="18"/>
      <c r="B406" s="20"/>
      <c r="C406" s="28"/>
      <c r="D406" s="28"/>
      <c r="E406" s="28"/>
      <c r="F406" s="28"/>
      <c r="G406" s="28"/>
      <c r="H406" s="31"/>
      <c r="I406" s="32"/>
      <c r="J406" s="33"/>
      <c r="K406" s="34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18"/>
    </row>
    <row r="407" spans="1:24" x14ac:dyDescent="0.35">
      <c r="A407" s="18"/>
      <c r="B407" s="20"/>
      <c r="C407" s="28"/>
      <c r="D407" s="28"/>
      <c r="E407" s="28"/>
      <c r="F407" s="28"/>
      <c r="G407" s="28"/>
      <c r="H407" s="31"/>
      <c r="I407" s="32"/>
      <c r="J407" s="33"/>
      <c r="K407" s="34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18"/>
    </row>
    <row r="408" spans="1:24" x14ac:dyDescent="0.35">
      <c r="A408" s="18"/>
      <c r="B408" s="20"/>
      <c r="C408" s="28"/>
      <c r="D408" s="28"/>
      <c r="E408" s="28"/>
      <c r="F408" s="28"/>
      <c r="G408" s="28"/>
      <c r="H408" s="31"/>
      <c r="I408" s="32"/>
      <c r="J408" s="33"/>
      <c r="K408" s="34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18"/>
    </row>
    <row r="409" spans="1:24" x14ac:dyDescent="0.35">
      <c r="A409" s="18"/>
      <c r="B409" s="20"/>
      <c r="C409" s="28"/>
      <c r="D409" s="28"/>
      <c r="E409" s="28"/>
      <c r="F409" s="28"/>
      <c r="G409" s="28"/>
      <c r="H409" s="31"/>
      <c r="I409" s="32"/>
      <c r="J409" s="33"/>
      <c r="K409" s="34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18"/>
    </row>
    <row r="410" spans="1:24" x14ac:dyDescent="0.35">
      <c r="A410" s="18"/>
      <c r="B410" s="20"/>
      <c r="C410" s="28"/>
      <c r="D410" s="28"/>
      <c r="E410" s="28"/>
      <c r="F410" s="28"/>
      <c r="G410" s="28"/>
      <c r="H410" s="31"/>
      <c r="I410" s="32"/>
      <c r="J410" s="33"/>
      <c r="K410" s="34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18"/>
    </row>
    <row r="411" spans="1:24" x14ac:dyDescent="0.35">
      <c r="A411" s="18"/>
      <c r="B411" s="20"/>
      <c r="C411" s="28"/>
      <c r="D411" s="28"/>
      <c r="E411" s="28"/>
      <c r="F411" s="28"/>
      <c r="G411" s="28"/>
      <c r="H411" s="31"/>
      <c r="I411" s="32"/>
      <c r="J411" s="33"/>
      <c r="K411" s="34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18"/>
    </row>
    <row r="412" spans="1:24" x14ac:dyDescent="0.35">
      <c r="A412" s="18"/>
      <c r="B412" s="20"/>
      <c r="C412" s="28"/>
      <c r="D412" s="28"/>
      <c r="E412" s="28"/>
      <c r="F412" s="28"/>
      <c r="G412" s="28"/>
      <c r="H412" s="31"/>
      <c r="I412" s="32"/>
      <c r="J412" s="33"/>
      <c r="K412" s="34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18"/>
    </row>
    <row r="413" spans="1:24" x14ac:dyDescent="0.35">
      <c r="A413" s="18"/>
      <c r="B413" s="20"/>
      <c r="C413" s="28"/>
      <c r="D413" s="28"/>
      <c r="E413" s="28"/>
      <c r="F413" s="28"/>
      <c r="G413" s="28"/>
      <c r="H413" s="31"/>
      <c r="I413" s="32"/>
      <c r="J413" s="33"/>
      <c r="K413" s="34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18"/>
    </row>
    <row r="414" spans="1:24" x14ac:dyDescent="0.35">
      <c r="A414" s="18"/>
      <c r="B414" s="20"/>
      <c r="C414" s="28"/>
      <c r="D414" s="28"/>
      <c r="E414" s="28"/>
      <c r="F414" s="28"/>
      <c r="G414" s="28"/>
      <c r="H414" s="31"/>
      <c r="I414" s="32"/>
      <c r="J414" s="33"/>
      <c r="K414" s="34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18"/>
    </row>
    <row r="415" spans="1:24" x14ac:dyDescent="0.35">
      <c r="A415" s="18"/>
      <c r="B415" s="20"/>
      <c r="C415" s="28"/>
      <c r="D415" s="28"/>
      <c r="E415" s="28"/>
      <c r="F415" s="28"/>
      <c r="G415" s="28"/>
      <c r="H415" s="31"/>
      <c r="I415" s="32"/>
      <c r="J415" s="33"/>
      <c r="K415" s="34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18"/>
    </row>
    <row r="416" spans="1:24" x14ac:dyDescent="0.35">
      <c r="A416" s="18"/>
      <c r="B416" s="20"/>
      <c r="C416" s="28"/>
      <c r="D416" s="28"/>
      <c r="E416" s="28"/>
      <c r="F416" s="28"/>
      <c r="G416" s="28"/>
      <c r="H416" s="31"/>
      <c r="I416" s="32"/>
      <c r="J416" s="33"/>
      <c r="K416" s="34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18"/>
    </row>
    <row r="417" spans="1:24" x14ac:dyDescent="0.35">
      <c r="A417" s="18"/>
      <c r="B417" s="20"/>
      <c r="C417" s="28"/>
      <c r="D417" s="28"/>
      <c r="E417" s="28"/>
      <c r="F417" s="28"/>
      <c r="G417" s="28"/>
      <c r="H417" s="31"/>
      <c r="I417" s="32"/>
      <c r="J417" s="33"/>
      <c r="K417" s="34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18"/>
    </row>
    <row r="418" spans="1:24" x14ac:dyDescent="0.35">
      <c r="A418" s="18"/>
      <c r="B418" s="20"/>
      <c r="C418" s="28"/>
      <c r="D418" s="28"/>
      <c r="E418" s="28"/>
      <c r="F418" s="28"/>
      <c r="G418" s="28"/>
      <c r="H418" s="31"/>
      <c r="I418" s="32"/>
      <c r="J418" s="33"/>
      <c r="K418" s="34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18"/>
    </row>
    <row r="419" spans="1:24" x14ac:dyDescent="0.35">
      <c r="A419" s="18"/>
      <c r="B419" s="20"/>
      <c r="C419" s="28"/>
      <c r="D419" s="28"/>
      <c r="E419" s="28"/>
      <c r="F419" s="28"/>
      <c r="G419" s="28"/>
      <c r="H419" s="31"/>
      <c r="I419" s="32"/>
      <c r="J419" s="33"/>
      <c r="K419" s="34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18"/>
    </row>
    <row r="420" spans="1:24" x14ac:dyDescent="0.35">
      <c r="A420" s="18"/>
      <c r="B420" s="20"/>
      <c r="C420" s="28"/>
      <c r="D420" s="28"/>
      <c r="E420" s="28"/>
      <c r="F420" s="28"/>
      <c r="G420" s="28"/>
      <c r="H420" s="31"/>
      <c r="I420" s="32"/>
      <c r="J420" s="33"/>
      <c r="K420" s="34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18"/>
    </row>
    <row r="421" spans="1:24" x14ac:dyDescent="0.35">
      <c r="A421" s="18"/>
      <c r="B421" s="20"/>
      <c r="C421" s="28"/>
      <c r="D421" s="28"/>
      <c r="E421" s="28"/>
      <c r="F421" s="28"/>
      <c r="G421" s="28"/>
      <c r="H421" s="31"/>
      <c r="I421" s="32"/>
      <c r="J421" s="33"/>
      <c r="K421" s="34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18"/>
    </row>
    <row r="422" spans="1:24" x14ac:dyDescent="0.35">
      <c r="A422" s="18"/>
      <c r="B422" s="20"/>
      <c r="C422" s="28"/>
      <c r="D422" s="28"/>
      <c r="E422" s="28"/>
      <c r="F422" s="28"/>
      <c r="G422" s="28"/>
      <c r="H422" s="31"/>
      <c r="I422" s="32"/>
      <c r="J422" s="33"/>
      <c r="K422" s="34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18"/>
    </row>
    <row r="423" spans="1:24" x14ac:dyDescent="0.35">
      <c r="A423" s="18"/>
      <c r="B423" s="20"/>
      <c r="C423" s="28"/>
      <c r="D423" s="28"/>
      <c r="E423" s="28"/>
      <c r="F423" s="28"/>
      <c r="G423" s="28"/>
      <c r="H423" s="31"/>
      <c r="I423" s="32"/>
      <c r="J423" s="33"/>
      <c r="K423" s="34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18"/>
    </row>
    <row r="424" spans="1:24" x14ac:dyDescent="0.35">
      <c r="A424" s="18"/>
      <c r="B424" s="20"/>
      <c r="C424" s="28"/>
      <c r="D424" s="28"/>
      <c r="E424" s="28"/>
      <c r="F424" s="28"/>
      <c r="G424" s="28"/>
      <c r="H424" s="31"/>
      <c r="I424" s="32"/>
      <c r="J424" s="33"/>
      <c r="K424" s="34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18"/>
    </row>
    <row r="425" spans="1:24" x14ac:dyDescent="0.35">
      <c r="A425" s="18"/>
      <c r="B425" s="20"/>
      <c r="C425" s="28"/>
      <c r="D425" s="28"/>
      <c r="E425" s="28"/>
      <c r="F425" s="28"/>
      <c r="G425" s="28"/>
      <c r="H425" s="31"/>
      <c r="I425" s="32"/>
      <c r="J425" s="33"/>
      <c r="K425" s="34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18"/>
    </row>
    <row r="426" spans="1:24" x14ac:dyDescent="0.35">
      <c r="A426" s="18"/>
      <c r="B426" s="20"/>
      <c r="C426" s="28"/>
      <c r="D426" s="28"/>
      <c r="E426" s="28"/>
      <c r="F426" s="28"/>
      <c r="G426" s="28"/>
      <c r="H426" s="31"/>
      <c r="I426" s="32"/>
      <c r="J426" s="33"/>
      <c r="K426" s="34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18"/>
    </row>
    <row r="427" spans="1:24" x14ac:dyDescent="0.35">
      <c r="A427" s="18"/>
      <c r="B427" s="20"/>
      <c r="C427" s="28"/>
      <c r="D427" s="28"/>
      <c r="E427" s="28"/>
      <c r="F427" s="28"/>
      <c r="G427" s="28"/>
      <c r="H427" s="31"/>
      <c r="I427" s="32"/>
      <c r="J427" s="33"/>
      <c r="K427" s="34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18"/>
    </row>
    <row r="428" spans="1:24" x14ac:dyDescent="0.35">
      <c r="A428" s="18"/>
      <c r="B428" s="20"/>
      <c r="C428" s="28"/>
      <c r="D428" s="28"/>
      <c r="E428" s="28"/>
      <c r="F428" s="28"/>
      <c r="G428" s="28"/>
      <c r="H428" s="31"/>
      <c r="I428" s="32"/>
      <c r="J428" s="33"/>
      <c r="K428" s="34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18"/>
    </row>
    <row r="429" spans="1:24" x14ac:dyDescent="0.35">
      <c r="A429" s="18"/>
      <c r="B429" s="20"/>
      <c r="C429" s="28"/>
      <c r="D429" s="28"/>
      <c r="E429" s="28"/>
      <c r="F429" s="28"/>
      <c r="G429" s="28"/>
      <c r="H429" s="31"/>
      <c r="I429" s="32"/>
      <c r="J429" s="33"/>
      <c r="K429" s="34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18"/>
    </row>
    <row r="430" spans="1:24" x14ac:dyDescent="0.35">
      <c r="A430" s="18"/>
      <c r="B430" s="20"/>
      <c r="C430" s="28"/>
      <c r="D430" s="28"/>
      <c r="E430" s="28"/>
      <c r="F430" s="28"/>
      <c r="G430" s="28"/>
      <c r="H430" s="31"/>
      <c r="I430" s="32"/>
      <c r="J430" s="33"/>
      <c r="K430" s="34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18"/>
    </row>
    <row r="431" spans="1:24" x14ac:dyDescent="0.35">
      <c r="A431" s="18"/>
      <c r="B431" s="20"/>
      <c r="C431" s="28"/>
      <c r="D431" s="28"/>
      <c r="E431" s="28"/>
      <c r="F431" s="28"/>
      <c r="G431" s="28"/>
      <c r="H431" s="31"/>
      <c r="I431" s="32"/>
      <c r="J431" s="33"/>
      <c r="K431" s="34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18"/>
    </row>
    <row r="432" spans="1:24" x14ac:dyDescent="0.35">
      <c r="A432" s="18"/>
      <c r="B432" s="20"/>
      <c r="C432" s="28"/>
      <c r="D432" s="28"/>
      <c r="E432" s="28"/>
      <c r="F432" s="28"/>
      <c r="G432" s="28"/>
      <c r="H432" s="31"/>
      <c r="I432" s="32"/>
      <c r="J432" s="33"/>
      <c r="K432" s="34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18"/>
    </row>
    <row r="433" spans="1:24" x14ac:dyDescent="0.35">
      <c r="A433" s="18"/>
      <c r="B433" s="20"/>
      <c r="C433" s="28"/>
      <c r="D433" s="28"/>
      <c r="E433" s="28"/>
      <c r="F433" s="28"/>
      <c r="G433" s="28"/>
      <c r="H433" s="31"/>
      <c r="I433" s="32"/>
      <c r="J433" s="33"/>
      <c r="K433" s="34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18"/>
    </row>
    <row r="434" spans="1:24" x14ac:dyDescent="0.35">
      <c r="A434" s="18"/>
      <c r="B434" s="20"/>
      <c r="C434" s="28"/>
      <c r="D434" s="28"/>
      <c r="E434" s="28"/>
      <c r="F434" s="28"/>
      <c r="G434" s="28"/>
      <c r="H434" s="31"/>
      <c r="I434" s="32"/>
      <c r="J434" s="33"/>
      <c r="K434" s="34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18"/>
    </row>
    <row r="435" spans="1:24" x14ac:dyDescent="0.35">
      <c r="A435" s="18"/>
      <c r="B435" s="20"/>
      <c r="C435" s="28"/>
      <c r="D435" s="28"/>
      <c r="E435" s="28"/>
      <c r="F435" s="28"/>
      <c r="G435" s="28"/>
      <c r="H435" s="31"/>
      <c r="I435" s="32"/>
      <c r="J435" s="33"/>
      <c r="K435" s="34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18"/>
    </row>
    <row r="436" spans="1:24" x14ac:dyDescent="0.35">
      <c r="A436" s="18"/>
      <c r="B436" s="20"/>
      <c r="C436" s="28"/>
      <c r="D436" s="28"/>
      <c r="E436" s="28"/>
      <c r="F436" s="28"/>
      <c r="G436" s="28"/>
      <c r="H436" s="31"/>
      <c r="I436" s="32"/>
      <c r="J436" s="33"/>
      <c r="K436" s="34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18"/>
    </row>
    <row r="437" spans="1:24" x14ac:dyDescent="0.35">
      <c r="A437" s="18"/>
      <c r="B437" s="20"/>
      <c r="C437" s="28"/>
      <c r="D437" s="28"/>
      <c r="E437" s="28"/>
      <c r="F437" s="28"/>
      <c r="G437" s="28"/>
      <c r="H437" s="31"/>
      <c r="I437" s="32"/>
      <c r="J437" s="33"/>
      <c r="K437" s="34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18"/>
    </row>
    <row r="438" spans="1:24" x14ac:dyDescent="0.35">
      <c r="A438" s="18"/>
      <c r="B438" s="20"/>
      <c r="C438" s="28"/>
      <c r="D438" s="28"/>
      <c r="E438" s="28"/>
      <c r="F438" s="28"/>
      <c r="G438" s="28"/>
      <c r="H438" s="31"/>
      <c r="I438" s="32"/>
      <c r="J438" s="33"/>
      <c r="K438" s="34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18"/>
    </row>
    <row r="439" spans="1:24" x14ac:dyDescent="0.35">
      <c r="A439" s="18"/>
      <c r="B439" s="20"/>
      <c r="C439" s="28"/>
      <c r="D439" s="28"/>
      <c r="E439" s="28"/>
      <c r="F439" s="28"/>
      <c r="G439" s="28"/>
      <c r="H439" s="31"/>
      <c r="I439" s="32"/>
      <c r="J439" s="33"/>
      <c r="K439" s="34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18"/>
    </row>
    <row r="440" spans="1:24" x14ac:dyDescent="0.35">
      <c r="A440" s="18"/>
      <c r="B440" s="20"/>
      <c r="C440" s="28"/>
      <c r="D440" s="28"/>
      <c r="E440" s="28"/>
      <c r="F440" s="28"/>
      <c r="G440" s="28"/>
      <c r="H440" s="31"/>
      <c r="I440" s="32"/>
      <c r="J440" s="33"/>
      <c r="K440" s="34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18"/>
    </row>
    <row r="441" spans="1:24" x14ac:dyDescent="0.35">
      <c r="A441" s="18"/>
      <c r="B441" s="20"/>
      <c r="C441" s="28"/>
      <c r="D441" s="28"/>
      <c r="E441" s="28"/>
      <c r="F441" s="28"/>
      <c r="G441" s="28"/>
      <c r="H441" s="31"/>
      <c r="I441" s="32"/>
      <c r="J441" s="33"/>
      <c r="K441" s="34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18"/>
    </row>
    <row r="442" spans="1:24" x14ac:dyDescent="0.35">
      <c r="A442" s="18"/>
      <c r="B442" s="20"/>
      <c r="C442" s="28"/>
      <c r="D442" s="28"/>
      <c r="E442" s="28"/>
      <c r="F442" s="28"/>
      <c r="G442" s="28"/>
      <c r="H442" s="31"/>
      <c r="I442" s="32"/>
      <c r="J442" s="33"/>
      <c r="K442" s="34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18"/>
    </row>
    <row r="443" spans="1:24" x14ac:dyDescent="0.35">
      <c r="A443" s="18"/>
      <c r="B443" s="20"/>
      <c r="C443" s="28"/>
      <c r="D443" s="28"/>
      <c r="E443" s="28"/>
      <c r="F443" s="28"/>
      <c r="G443" s="28"/>
      <c r="H443" s="31"/>
      <c r="I443" s="32"/>
      <c r="J443" s="33"/>
      <c r="K443" s="34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18"/>
    </row>
    <row r="444" spans="1:24" x14ac:dyDescent="0.35">
      <c r="A444" s="18"/>
      <c r="B444" s="20"/>
      <c r="C444" s="28"/>
      <c r="D444" s="28"/>
      <c r="E444" s="28"/>
      <c r="F444" s="28"/>
      <c r="G444" s="28"/>
      <c r="H444" s="31"/>
      <c r="I444" s="32"/>
      <c r="J444" s="33"/>
      <c r="K444" s="34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18"/>
    </row>
    <row r="445" spans="1:24" x14ac:dyDescent="0.35">
      <c r="A445" s="18"/>
      <c r="B445" s="20"/>
      <c r="C445" s="28"/>
      <c r="D445" s="28"/>
      <c r="E445" s="28"/>
      <c r="F445" s="28"/>
      <c r="G445" s="28"/>
      <c r="H445" s="31"/>
      <c r="I445" s="32"/>
      <c r="J445" s="33"/>
      <c r="K445" s="34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18"/>
    </row>
    <row r="446" spans="1:24" x14ac:dyDescent="0.35">
      <c r="A446" s="18"/>
      <c r="B446" s="20"/>
      <c r="C446" s="28"/>
      <c r="D446" s="28"/>
      <c r="E446" s="28"/>
      <c r="F446" s="28"/>
      <c r="G446" s="28"/>
      <c r="H446" s="31"/>
      <c r="I446" s="32"/>
      <c r="J446" s="33"/>
      <c r="K446" s="34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18"/>
    </row>
    <row r="447" spans="1:24" x14ac:dyDescent="0.35">
      <c r="A447" s="18"/>
      <c r="B447" s="20"/>
      <c r="C447" s="28"/>
      <c r="D447" s="28"/>
      <c r="E447" s="28"/>
      <c r="F447" s="28"/>
      <c r="G447" s="28"/>
      <c r="H447" s="31"/>
      <c r="I447" s="32"/>
      <c r="J447" s="33"/>
      <c r="K447" s="34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18"/>
    </row>
    <row r="448" spans="1:24" x14ac:dyDescent="0.35">
      <c r="A448" s="18"/>
      <c r="B448" s="20"/>
      <c r="C448" s="28"/>
      <c r="D448" s="28"/>
      <c r="E448" s="28"/>
      <c r="F448" s="28"/>
      <c r="G448" s="28"/>
      <c r="H448" s="31"/>
      <c r="I448" s="32"/>
      <c r="J448" s="33"/>
      <c r="K448" s="34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18"/>
    </row>
    <row r="449" spans="1:24" x14ac:dyDescent="0.35">
      <c r="A449" s="18"/>
      <c r="B449" s="20"/>
      <c r="C449" s="28"/>
      <c r="D449" s="28"/>
      <c r="E449" s="28"/>
      <c r="F449" s="28"/>
      <c r="G449" s="28"/>
      <c r="H449" s="31"/>
      <c r="I449" s="32"/>
      <c r="J449" s="33"/>
      <c r="K449" s="34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18"/>
    </row>
    <row r="450" spans="1:24" x14ac:dyDescent="0.35">
      <c r="A450" s="18"/>
      <c r="B450" s="20"/>
      <c r="C450" s="28"/>
      <c r="D450" s="28"/>
      <c r="E450" s="28"/>
      <c r="F450" s="28"/>
      <c r="G450" s="28"/>
      <c r="H450" s="31"/>
      <c r="I450" s="32"/>
      <c r="J450" s="33"/>
      <c r="K450" s="34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18"/>
    </row>
    <row r="451" spans="1:24" x14ac:dyDescent="0.35">
      <c r="A451" s="18"/>
      <c r="B451" s="20"/>
      <c r="C451" s="28"/>
      <c r="D451" s="28"/>
      <c r="E451" s="28"/>
      <c r="F451" s="28"/>
      <c r="G451" s="28"/>
      <c r="H451" s="31"/>
      <c r="I451" s="32"/>
      <c r="J451" s="33"/>
      <c r="K451" s="34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18"/>
    </row>
    <row r="452" spans="1:24" x14ac:dyDescent="0.35">
      <c r="A452" s="18"/>
      <c r="B452" s="20"/>
      <c r="C452" s="28"/>
      <c r="D452" s="28"/>
      <c r="E452" s="28"/>
      <c r="F452" s="28"/>
      <c r="G452" s="28"/>
      <c r="H452" s="31"/>
      <c r="I452" s="32"/>
      <c r="J452" s="33"/>
      <c r="K452" s="34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18"/>
    </row>
    <row r="453" spans="1:24" x14ac:dyDescent="0.35">
      <c r="A453" s="18"/>
      <c r="B453" s="20"/>
      <c r="C453" s="28"/>
      <c r="D453" s="28"/>
      <c r="E453" s="28"/>
      <c r="F453" s="28"/>
      <c r="G453" s="28"/>
      <c r="H453" s="31"/>
      <c r="I453" s="32"/>
      <c r="J453" s="33"/>
      <c r="K453" s="34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18"/>
    </row>
    <row r="454" spans="1:24" x14ac:dyDescent="0.35">
      <c r="A454" s="18"/>
      <c r="B454" s="20"/>
      <c r="C454" s="28"/>
      <c r="D454" s="28"/>
      <c r="E454" s="28"/>
      <c r="F454" s="28"/>
      <c r="G454" s="28"/>
      <c r="H454" s="31"/>
      <c r="I454" s="32"/>
      <c r="J454" s="33"/>
      <c r="K454" s="34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18"/>
    </row>
    <row r="455" spans="1:24" x14ac:dyDescent="0.35">
      <c r="A455" s="18"/>
      <c r="B455" s="20"/>
      <c r="C455" s="28"/>
      <c r="D455" s="28"/>
      <c r="E455" s="28"/>
      <c r="F455" s="28"/>
      <c r="G455" s="28"/>
      <c r="H455" s="31"/>
      <c r="I455" s="32"/>
      <c r="J455" s="33"/>
      <c r="K455" s="34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18"/>
    </row>
    <row r="456" spans="1:24" x14ac:dyDescent="0.35">
      <c r="A456" s="18"/>
      <c r="B456" s="20"/>
      <c r="C456" s="28"/>
      <c r="D456" s="28"/>
      <c r="E456" s="28"/>
      <c r="F456" s="28"/>
      <c r="G456" s="28"/>
      <c r="H456" s="31"/>
      <c r="I456" s="32"/>
      <c r="J456" s="33"/>
      <c r="K456" s="34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18"/>
    </row>
    <row r="457" spans="1:24" x14ac:dyDescent="0.35">
      <c r="A457" s="18"/>
      <c r="B457" s="20"/>
      <c r="C457" s="28"/>
      <c r="D457" s="28"/>
      <c r="E457" s="28"/>
      <c r="F457" s="28"/>
      <c r="G457" s="28"/>
      <c r="H457" s="31"/>
      <c r="I457" s="32"/>
      <c r="J457" s="33"/>
      <c r="K457" s="34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18"/>
    </row>
    <row r="458" spans="1:24" x14ac:dyDescent="0.35">
      <c r="A458" s="18"/>
      <c r="B458" s="20"/>
      <c r="C458" s="28"/>
      <c r="D458" s="28"/>
      <c r="E458" s="28"/>
      <c r="F458" s="28"/>
      <c r="G458" s="28"/>
      <c r="H458" s="31"/>
      <c r="I458" s="32"/>
      <c r="J458" s="33"/>
      <c r="K458" s="34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18"/>
    </row>
    <row r="459" spans="1:24" x14ac:dyDescent="0.35">
      <c r="A459" s="18"/>
      <c r="B459" s="20"/>
      <c r="C459" s="28"/>
      <c r="D459" s="28"/>
      <c r="E459" s="28"/>
      <c r="F459" s="28"/>
      <c r="G459" s="28"/>
      <c r="H459" s="31"/>
      <c r="I459" s="32"/>
      <c r="J459" s="33"/>
      <c r="K459" s="34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18"/>
    </row>
    <row r="460" spans="1:24" x14ac:dyDescent="0.35">
      <c r="A460" s="18"/>
      <c r="B460" s="20"/>
      <c r="C460" s="28"/>
      <c r="D460" s="28"/>
      <c r="E460" s="28"/>
      <c r="F460" s="28"/>
      <c r="G460" s="28"/>
      <c r="H460" s="31"/>
      <c r="I460" s="32"/>
      <c r="J460" s="33"/>
      <c r="K460" s="34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18"/>
    </row>
    <row r="461" spans="1:24" x14ac:dyDescent="0.35">
      <c r="A461" s="18"/>
      <c r="B461" s="20"/>
      <c r="C461" s="28"/>
      <c r="D461" s="28"/>
      <c r="E461" s="28"/>
      <c r="F461" s="28"/>
      <c r="G461" s="28"/>
      <c r="H461" s="31"/>
      <c r="I461" s="32"/>
      <c r="J461" s="33"/>
      <c r="K461" s="34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18"/>
    </row>
    <row r="462" spans="1:24" x14ac:dyDescent="0.35">
      <c r="A462" s="18"/>
      <c r="B462" s="20"/>
      <c r="C462" s="28"/>
      <c r="D462" s="28"/>
      <c r="E462" s="28"/>
      <c r="F462" s="28"/>
      <c r="G462" s="28"/>
      <c r="H462" s="31"/>
      <c r="I462" s="32"/>
      <c r="J462" s="33"/>
      <c r="K462" s="34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18"/>
    </row>
    <row r="463" spans="1:24" x14ac:dyDescent="0.35">
      <c r="A463" s="18"/>
      <c r="B463" s="20"/>
      <c r="C463" s="28"/>
      <c r="D463" s="28"/>
      <c r="E463" s="28"/>
      <c r="F463" s="28"/>
      <c r="G463" s="28"/>
      <c r="H463" s="31"/>
      <c r="I463" s="32"/>
      <c r="J463" s="33"/>
      <c r="K463" s="34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18"/>
    </row>
    <row r="464" spans="1:24" x14ac:dyDescent="0.35">
      <c r="A464" s="18"/>
      <c r="B464" s="20"/>
      <c r="C464" s="28"/>
      <c r="D464" s="28"/>
      <c r="E464" s="28"/>
      <c r="F464" s="28"/>
      <c r="G464" s="28"/>
      <c r="H464" s="31"/>
      <c r="I464" s="32"/>
      <c r="J464" s="33"/>
      <c r="K464" s="34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18"/>
    </row>
    <row r="465" spans="1:24" x14ac:dyDescent="0.35">
      <c r="A465" s="18"/>
      <c r="B465" s="20"/>
      <c r="C465" s="28"/>
      <c r="D465" s="28"/>
      <c r="E465" s="28"/>
      <c r="F465" s="28"/>
      <c r="G465" s="28"/>
      <c r="H465" s="31"/>
      <c r="I465" s="32"/>
      <c r="J465" s="33"/>
      <c r="K465" s="34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18"/>
    </row>
    <row r="466" spans="1:24" x14ac:dyDescent="0.35">
      <c r="A466" s="18"/>
      <c r="B466" s="20"/>
      <c r="C466" s="28"/>
      <c r="D466" s="28"/>
      <c r="E466" s="28"/>
      <c r="F466" s="28"/>
      <c r="G466" s="28"/>
      <c r="H466" s="31"/>
      <c r="I466" s="32"/>
      <c r="J466" s="33"/>
      <c r="K466" s="34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18"/>
    </row>
    <row r="467" spans="1:24" x14ac:dyDescent="0.35">
      <c r="A467" s="18"/>
      <c r="B467" s="20"/>
      <c r="C467" s="28"/>
      <c r="D467" s="28"/>
      <c r="E467" s="28"/>
      <c r="F467" s="28"/>
      <c r="G467" s="28"/>
      <c r="H467" s="31"/>
      <c r="I467" s="32"/>
      <c r="J467" s="33"/>
      <c r="K467" s="34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18"/>
    </row>
    <row r="468" spans="1:24" x14ac:dyDescent="0.35">
      <c r="A468" s="18"/>
      <c r="B468" s="20"/>
      <c r="C468" s="28"/>
      <c r="D468" s="28"/>
      <c r="E468" s="28"/>
      <c r="F468" s="28"/>
      <c r="G468" s="28"/>
      <c r="H468" s="31"/>
      <c r="I468" s="32"/>
      <c r="J468" s="33"/>
      <c r="K468" s="34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18"/>
    </row>
    <row r="469" spans="1:24" x14ac:dyDescent="0.35">
      <c r="A469" s="18"/>
      <c r="B469" s="20"/>
      <c r="C469" s="28"/>
      <c r="D469" s="28"/>
      <c r="E469" s="28"/>
      <c r="F469" s="28"/>
      <c r="G469" s="28"/>
      <c r="H469" s="31"/>
      <c r="I469" s="32"/>
      <c r="J469" s="33"/>
      <c r="K469" s="34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18"/>
    </row>
    <row r="470" spans="1:24" x14ac:dyDescent="0.35">
      <c r="A470" s="18"/>
      <c r="B470" s="20"/>
      <c r="C470" s="28"/>
      <c r="D470" s="28"/>
      <c r="E470" s="28"/>
      <c r="F470" s="28"/>
      <c r="G470" s="28"/>
      <c r="H470" s="31"/>
      <c r="I470" s="32"/>
      <c r="J470" s="33"/>
      <c r="K470" s="34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18"/>
    </row>
    <row r="471" spans="1:24" x14ac:dyDescent="0.35">
      <c r="A471" s="18"/>
      <c r="B471" s="20"/>
      <c r="C471" s="28"/>
      <c r="D471" s="28"/>
      <c r="E471" s="28"/>
      <c r="F471" s="28"/>
      <c r="G471" s="28"/>
      <c r="H471" s="31"/>
      <c r="I471" s="32"/>
      <c r="J471" s="33"/>
      <c r="K471" s="34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18"/>
    </row>
    <row r="472" spans="1:24" x14ac:dyDescent="0.35">
      <c r="A472" s="18"/>
      <c r="B472" s="20"/>
      <c r="C472" s="28"/>
      <c r="D472" s="28"/>
      <c r="E472" s="28"/>
      <c r="F472" s="28"/>
      <c r="G472" s="28"/>
      <c r="H472" s="31"/>
      <c r="I472" s="32"/>
      <c r="J472" s="33"/>
      <c r="K472" s="34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18"/>
    </row>
    <row r="473" spans="1:24" x14ac:dyDescent="0.35">
      <c r="A473" s="18"/>
      <c r="B473" s="20"/>
      <c r="C473" s="28"/>
      <c r="D473" s="28"/>
      <c r="E473" s="28"/>
      <c r="F473" s="28"/>
      <c r="G473" s="28"/>
      <c r="H473" s="31"/>
      <c r="I473" s="32"/>
      <c r="J473" s="33"/>
      <c r="K473" s="34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18"/>
    </row>
    <row r="474" spans="1:24" x14ac:dyDescent="0.35">
      <c r="A474" s="18"/>
      <c r="B474" s="20"/>
      <c r="C474" s="28"/>
      <c r="D474" s="28"/>
      <c r="E474" s="28"/>
      <c r="F474" s="28"/>
      <c r="G474" s="28"/>
      <c r="H474" s="31"/>
      <c r="I474" s="32"/>
      <c r="J474" s="33"/>
      <c r="K474" s="34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18"/>
    </row>
    <row r="475" spans="1:24" x14ac:dyDescent="0.35">
      <c r="A475" s="18"/>
      <c r="B475" s="20"/>
      <c r="C475" s="28"/>
      <c r="D475" s="28"/>
      <c r="E475" s="28"/>
      <c r="F475" s="28"/>
      <c r="G475" s="28"/>
      <c r="H475" s="31"/>
      <c r="I475" s="32"/>
      <c r="J475" s="33"/>
      <c r="K475" s="34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18"/>
    </row>
    <row r="476" spans="1:24" x14ac:dyDescent="0.35">
      <c r="A476" s="18"/>
      <c r="B476" s="20"/>
      <c r="C476" s="28"/>
      <c r="D476" s="28"/>
      <c r="E476" s="28"/>
      <c r="F476" s="28"/>
      <c r="G476" s="28"/>
      <c r="H476" s="31"/>
      <c r="I476" s="32"/>
      <c r="J476" s="33"/>
      <c r="K476" s="34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18"/>
    </row>
    <row r="477" spans="1:24" x14ac:dyDescent="0.35">
      <c r="A477" s="18"/>
      <c r="B477" s="20"/>
      <c r="C477" s="28"/>
      <c r="D477" s="28"/>
      <c r="E477" s="28"/>
      <c r="F477" s="28"/>
      <c r="G477" s="28"/>
      <c r="H477" s="31"/>
      <c r="I477" s="32"/>
      <c r="J477" s="33"/>
      <c r="K477" s="34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18"/>
    </row>
    <row r="478" spans="1:24" x14ac:dyDescent="0.35">
      <c r="A478" s="18"/>
      <c r="B478" s="20"/>
      <c r="C478" s="28"/>
      <c r="D478" s="28"/>
      <c r="E478" s="28"/>
      <c r="F478" s="28"/>
      <c r="G478" s="28"/>
      <c r="H478" s="31"/>
      <c r="I478" s="32"/>
      <c r="J478" s="33"/>
      <c r="K478" s="34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18"/>
    </row>
    <row r="479" spans="1:24" x14ac:dyDescent="0.35">
      <c r="A479" s="18"/>
      <c r="B479" s="20"/>
      <c r="C479" s="28"/>
      <c r="D479" s="28"/>
      <c r="E479" s="28"/>
      <c r="F479" s="28"/>
      <c r="G479" s="28"/>
      <c r="H479" s="31"/>
      <c r="I479" s="32"/>
      <c r="J479" s="33"/>
      <c r="K479" s="34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18"/>
    </row>
    <row r="480" spans="1:24" x14ac:dyDescent="0.35">
      <c r="A480" s="18"/>
      <c r="B480" s="20"/>
      <c r="C480" s="28"/>
      <c r="D480" s="28"/>
      <c r="E480" s="28"/>
      <c r="F480" s="28"/>
      <c r="G480" s="28"/>
      <c r="H480" s="31"/>
      <c r="I480" s="32"/>
      <c r="J480" s="33"/>
      <c r="K480" s="34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18"/>
    </row>
    <row r="481" spans="1:24" x14ac:dyDescent="0.35">
      <c r="A481" s="18"/>
      <c r="B481" s="20"/>
      <c r="C481" s="28"/>
      <c r="D481" s="28"/>
      <c r="E481" s="28"/>
      <c r="F481" s="28"/>
      <c r="G481" s="28"/>
      <c r="H481" s="31"/>
      <c r="I481" s="32"/>
      <c r="J481" s="33"/>
      <c r="K481" s="34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18"/>
    </row>
    <row r="482" spans="1:24" x14ac:dyDescent="0.35">
      <c r="A482" s="18"/>
      <c r="B482" s="20"/>
      <c r="C482" s="28"/>
      <c r="D482" s="28"/>
      <c r="E482" s="28"/>
      <c r="F482" s="28"/>
      <c r="G482" s="28"/>
      <c r="H482" s="31"/>
      <c r="I482" s="32"/>
      <c r="J482" s="33"/>
      <c r="K482" s="34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18"/>
    </row>
    <row r="483" spans="1:24" x14ac:dyDescent="0.35">
      <c r="A483" s="18"/>
      <c r="B483" s="20"/>
      <c r="C483" s="28"/>
      <c r="D483" s="28"/>
      <c r="E483" s="28"/>
      <c r="F483" s="28"/>
      <c r="G483" s="28"/>
      <c r="H483" s="31"/>
      <c r="I483" s="32"/>
      <c r="J483" s="33"/>
      <c r="K483" s="34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18"/>
    </row>
    <row r="484" spans="1:24" x14ac:dyDescent="0.35">
      <c r="A484" s="18"/>
      <c r="B484" s="20"/>
      <c r="C484" s="28"/>
      <c r="D484" s="28"/>
      <c r="E484" s="28"/>
      <c r="F484" s="28"/>
      <c r="G484" s="28"/>
      <c r="H484" s="31"/>
      <c r="I484" s="32"/>
      <c r="J484" s="33"/>
      <c r="K484" s="34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18"/>
    </row>
    <row r="485" spans="1:24" x14ac:dyDescent="0.35">
      <c r="A485" s="18"/>
      <c r="B485" s="20"/>
      <c r="C485" s="28"/>
      <c r="D485" s="28"/>
      <c r="E485" s="28"/>
      <c r="F485" s="28"/>
      <c r="G485" s="28"/>
      <c r="H485" s="31"/>
      <c r="I485" s="32"/>
      <c r="J485" s="33"/>
      <c r="K485" s="34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18"/>
    </row>
    <row r="486" spans="1:24" x14ac:dyDescent="0.35">
      <c r="A486" s="18"/>
      <c r="B486" s="20"/>
      <c r="C486" s="28"/>
      <c r="D486" s="28"/>
      <c r="E486" s="28"/>
      <c r="F486" s="28"/>
      <c r="G486" s="28"/>
      <c r="H486" s="31"/>
      <c r="I486" s="32"/>
      <c r="J486" s="33"/>
      <c r="K486" s="34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18"/>
    </row>
    <row r="487" spans="1:24" x14ac:dyDescent="0.35">
      <c r="A487" s="18"/>
      <c r="B487" s="20"/>
      <c r="C487" s="28"/>
      <c r="D487" s="28"/>
      <c r="E487" s="28"/>
      <c r="F487" s="28"/>
      <c r="G487" s="28"/>
      <c r="H487" s="31"/>
      <c r="I487" s="32"/>
      <c r="J487" s="33"/>
      <c r="K487" s="34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18"/>
    </row>
    <row r="488" spans="1:24" x14ac:dyDescent="0.35">
      <c r="A488" s="18"/>
      <c r="B488" s="20"/>
      <c r="C488" s="28"/>
      <c r="D488" s="28"/>
      <c r="E488" s="28"/>
      <c r="F488" s="28"/>
      <c r="G488" s="28"/>
      <c r="H488" s="31"/>
      <c r="I488" s="32"/>
      <c r="J488" s="33"/>
      <c r="K488" s="34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18"/>
    </row>
  </sheetData>
  <autoFilter ref="A2:W224" xr:uid="{97E664F8-D922-4463-BE63-A01490BC865C}">
    <sortState xmlns:xlrd2="http://schemas.microsoft.com/office/spreadsheetml/2017/richdata2" ref="A3:W224">
      <sortCondition descending="1" ref="J2:J224"/>
    </sortState>
  </autoFilter>
  <conditionalFormatting sqref="B223">
    <cfRule type="cellIs" dxfId="17" priority="4" operator="equal">
      <formula>"Nova Negociação"</formula>
    </cfRule>
    <cfRule type="cellIs" dxfId="16" priority="5" operator="equal">
      <formula>"Carry Over 2025"</formula>
    </cfRule>
    <cfRule type="cellIs" dxfId="15" priority="6" operator="equal">
      <formula>"Cancelada"</formula>
    </cfRule>
  </conditionalFormatting>
  <conditionalFormatting sqref="B115">
    <cfRule type="cellIs" dxfId="14" priority="1" operator="equal">
      <formula>"Nova Negociação"</formula>
    </cfRule>
    <cfRule type="cellIs" dxfId="13" priority="2" operator="equal">
      <formula>"Carry Over 2025"</formula>
    </cfRule>
    <cfRule type="cellIs" dxfId="12" priority="3" operator="equal">
      <formula>"Cancelada"</formula>
    </cfRule>
  </conditionalFormatting>
  <pageMargins left="0.511811024" right="0.511811024" top="0.78740157499999996" bottom="0.78740157499999996" header="0.31496062000000002" footer="0.31496062000000002"/>
  <pageSetup orientation="portrait" r:id="rId1"/>
  <headerFooter>
    <oddHeader>&amp;R&amp;"Arial"&amp;8&amp;K000000 [OFFICIAL]&amp;1#_x000D_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6D03-9B49-473C-A8E4-B7CC35788A9D}">
  <sheetPr>
    <tabColor rgb="FF00B050"/>
  </sheetPr>
  <dimension ref="A3:I108"/>
  <sheetViews>
    <sheetView showGridLines="0" zoomScale="85" zoomScaleNormal="85" workbookViewId="0">
      <selection activeCell="F31" sqref="F31"/>
    </sheetView>
  </sheetViews>
  <sheetFormatPr defaultRowHeight="14.5" x14ac:dyDescent="0.35"/>
  <cols>
    <col min="1" max="1" width="22.1796875" bestFit="1" customWidth="1"/>
    <col min="2" max="2" width="32.7265625" bestFit="1" customWidth="1"/>
    <col min="3" max="3" width="30.90625" bestFit="1" customWidth="1"/>
    <col min="4" max="4" width="14.6328125" bestFit="1" customWidth="1"/>
    <col min="5" max="5" width="15.08984375" bestFit="1" customWidth="1"/>
    <col min="6" max="6" width="37.1796875" bestFit="1" customWidth="1"/>
    <col min="7" max="7" width="17" bestFit="1" customWidth="1"/>
    <col min="8" max="8" width="30.90625" bestFit="1" customWidth="1"/>
    <col min="9" max="9" width="15.08984375" bestFit="1" customWidth="1"/>
    <col min="10" max="10" width="32.26953125" bestFit="1" customWidth="1"/>
    <col min="11" max="11" width="33.81640625" bestFit="1" customWidth="1"/>
    <col min="12" max="12" width="32.26953125" bestFit="1" customWidth="1"/>
    <col min="13" max="13" width="33.81640625" bestFit="1" customWidth="1"/>
    <col min="14" max="14" width="32.26953125" bestFit="1" customWidth="1"/>
    <col min="15" max="15" width="33.81640625" bestFit="1" customWidth="1"/>
    <col min="16" max="16" width="37.453125" bestFit="1" customWidth="1"/>
    <col min="17" max="17" width="39" bestFit="1" customWidth="1"/>
    <col min="18" max="18" width="37.1796875" bestFit="1" customWidth="1"/>
    <col min="19" max="19" width="38.7265625" bestFit="1" customWidth="1"/>
  </cols>
  <sheetData>
    <row r="3" spans="1:9" x14ac:dyDescent="0.35">
      <c r="A3" t="s">
        <v>515</v>
      </c>
      <c r="B3" t="s">
        <v>516</v>
      </c>
    </row>
    <row r="4" spans="1:9" x14ac:dyDescent="0.35">
      <c r="A4" s="27" t="s">
        <v>40</v>
      </c>
      <c r="B4" s="37">
        <v>9725331.5962895099</v>
      </c>
    </row>
    <row r="5" spans="1:9" ht="15" thickBot="1" x14ac:dyDescent="0.4">
      <c r="A5" s="27" t="s">
        <v>26</v>
      </c>
      <c r="B5" s="37">
        <v>28619174.798617911</v>
      </c>
    </row>
    <row r="6" spans="1:9" ht="15" thickBot="1" x14ac:dyDescent="0.4">
      <c r="A6" s="27" t="s">
        <v>135</v>
      </c>
      <c r="B6" s="37">
        <v>1647985.7286663088</v>
      </c>
      <c r="G6" s="38" t="s">
        <v>517</v>
      </c>
      <c r="H6" s="39" t="s">
        <v>518</v>
      </c>
      <c r="I6" s="40" t="s">
        <v>519</v>
      </c>
    </row>
    <row r="7" spans="1:9" ht="15" thickBot="1" x14ac:dyDescent="0.4">
      <c r="A7" s="27" t="s">
        <v>520</v>
      </c>
      <c r="B7" s="37">
        <v>39992492.123573728</v>
      </c>
      <c r="G7" s="41" t="s">
        <v>38</v>
      </c>
      <c r="H7" s="42">
        <v>9.8133333333333326</v>
      </c>
      <c r="I7" s="43">
        <v>14.725380984525284</v>
      </c>
    </row>
    <row r="8" spans="1:9" ht="15" thickBot="1" x14ac:dyDescent="0.4">
      <c r="G8" s="41" t="s">
        <v>32</v>
      </c>
      <c r="H8" s="44">
        <v>10.773333333333333</v>
      </c>
      <c r="I8" s="43">
        <v>24.553890399762732</v>
      </c>
    </row>
    <row r="9" spans="1:9" ht="15" thickBot="1" x14ac:dyDescent="0.4">
      <c r="G9" s="41" t="s">
        <v>54</v>
      </c>
      <c r="H9" s="44">
        <v>4.0533333333333328</v>
      </c>
      <c r="I9" s="45">
        <v>0.71502517857142867</v>
      </c>
    </row>
    <row r="10" spans="1:9" ht="15" thickBot="1" x14ac:dyDescent="0.4">
      <c r="A10" t="s">
        <v>516</v>
      </c>
      <c r="B10" t="s">
        <v>521</v>
      </c>
      <c r="G10" s="46" t="s">
        <v>522</v>
      </c>
      <c r="H10" s="47">
        <f>SUM(H7:H9)</f>
        <v>24.64</v>
      </c>
      <c r="I10" s="43">
        <f>SUM(I7:I9)</f>
        <v>39.994296562859446</v>
      </c>
    </row>
    <row r="11" spans="1:9" x14ac:dyDescent="0.35">
      <c r="A11" t="s">
        <v>515</v>
      </c>
      <c r="B11" t="s">
        <v>54</v>
      </c>
      <c r="C11" t="s">
        <v>38</v>
      </c>
      <c r="D11" t="s">
        <v>32</v>
      </c>
      <c r="E11" t="s">
        <v>523</v>
      </c>
    </row>
    <row r="12" spans="1:9" x14ac:dyDescent="0.35">
      <c r="A12" s="27" t="s">
        <v>37</v>
      </c>
      <c r="B12" s="37">
        <v>0</v>
      </c>
      <c r="C12" s="37">
        <v>3571989.8897268907</v>
      </c>
      <c r="D12" s="37">
        <v>11655199.641879683</v>
      </c>
      <c r="E12" s="37">
        <v>15227189.531606574</v>
      </c>
    </row>
    <row r="13" spans="1:9" x14ac:dyDescent="0.35">
      <c r="A13" s="27" t="s">
        <v>30</v>
      </c>
      <c r="B13" s="37">
        <v>0</v>
      </c>
      <c r="C13" s="37">
        <v>11153391.094798395</v>
      </c>
      <c r="D13" s="37">
        <v>12898690.75788305</v>
      </c>
      <c r="E13" s="37">
        <v>24052081.852681443</v>
      </c>
    </row>
    <row r="14" spans="1:9" x14ac:dyDescent="0.35">
      <c r="A14" s="27" t="s">
        <v>125</v>
      </c>
      <c r="B14" s="37">
        <v>715025.17857142864</v>
      </c>
      <c r="C14" s="37"/>
      <c r="D14" s="37"/>
      <c r="E14" s="37">
        <v>715025.17857142864</v>
      </c>
      <c r="H14" s="48"/>
    </row>
    <row r="15" spans="1:9" x14ac:dyDescent="0.35">
      <c r="A15" s="27" t="s">
        <v>523</v>
      </c>
      <c r="B15" s="37">
        <v>715025.17857142864</v>
      </c>
      <c r="C15" s="37">
        <v>14725380.984525286</v>
      </c>
      <c r="D15" s="37">
        <v>24553890.399762735</v>
      </c>
      <c r="E15" s="37">
        <v>39994296.562859438</v>
      </c>
      <c r="G15" t="s">
        <v>4</v>
      </c>
      <c r="H15" t="s">
        <v>524</v>
      </c>
    </row>
    <row r="17" spans="1:9" x14ac:dyDescent="0.35">
      <c r="A17" t="s">
        <v>4</v>
      </c>
      <c r="B17" t="s">
        <v>524</v>
      </c>
      <c r="G17" t="s">
        <v>515</v>
      </c>
      <c r="H17" t="s">
        <v>516</v>
      </c>
    </row>
    <row r="18" spans="1:9" x14ac:dyDescent="0.35">
      <c r="G18" s="27" t="s">
        <v>54</v>
      </c>
      <c r="H18" s="35">
        <v>715025.17857142864</v>
      </c>
      <c r="I18" s="35">
        <f>H18/1000000</f>
        <v>0.71502517857142867</v>
      </c>
    </row>
    <row r="19" spans="1:9" x14ac:dyDescent="0.35">
      <c r="A19" t="s">
        <v>516</v>
      </c>
      <c r="B19" t="s">
        <v>521</v>
      </c>
      <c r="G19" s="27" t="s">
        <v>38</v>
      </c>
      <c r="H19" s="35">
        <v>14725380.984525284</v>
      </c>
      <c r="I19" s="35">
        <f>H19/1000000</f>
        <v>14.725380984525284</v>
      </c>
    </row>
    <row r="20" spans="1:9" x14ac:dyDescent="0.35">
      <c r="A20" t="s">
        <v>515</v>
      </c>
      <c r="B20" t="s">
        <v>46</v>
      </c>
      <c r="C20" t="s">
        <v>31</v>
      </c>
      <c r="D20" t="s">
        <v>523</v>
      </c>
      <c r="G20" s="27" t="s">
        <v>32</v>
      </c>
      <c r="H20" s="35">
        <v>24553890.399762731</v>
      </c>
      <c r="I20" s="35">
        <f>H20/1000000</f>
        <v>24.553890399762732</v>
      </c>
    </row>
    <row r="21" spans="1:9" x14ac:dyDescent="0.35">
      <c r="A21" s="27" t="s">
        <v>54</v>
      </c>
      <c r="B21" s="37">
        <v>0</v>
      </c>
      <c r="C21" s="37">
        <v>715025.17857142864</v>
      </c>
      <c r="D21" s="37">
        <v>715025.17857142864</v>
      </c>
      <c r="G21" s="27" t="s">
        <v>520</v>
      </c>
      <c r="H21" s="35">
        <v>39994296.562859446</v>
      </c>
      <c r="I21" s="35">
        <f>H21/1000000</f>
        <v>39.994296562859446</v>
      </c>
    </row>
    <row r="22" spans="1:9" x14ac:dyDescent="0.35">
      <c r="A22" s="27" t="s">
        <v>38</v>
      </c>
      <c r="B22" s="37">
        <v>0</v>
      </c>
      <c r="C22" s="37">
        <v>14725380.984525284</v>
      </c>
      <c r="D22" s="37">
        <v>14725380.984525284</v>
      </c>
      <c r="I22" s="35"/>
    </row>
    <row r="23" spans="1:9" x14ac:dyDescent="0.35">
      <c r="A23" s="27" t="s">
        <v>32</v>
      </c>
      <c r="B23" s="37">
        <v>7098738.3100000005</v>
      </c>
      <c r="C23" s="37">
        <v>17455152.089762729</v>
      </c>
      <c r="D23" s="37">
        <v>24553890.399762727</v>
      </c>
    </row>
    <row r="24" spans="1:9" x14ac:dyDescent="0.35">
      <c r="A24" s="27" t="s">
        <v>523</v>
      </c>
      <c r="B24" s="37">
        <v>7098738.3100000005</v>
      </c>
      <c r="C24" s="37">
        <v>32895558.252859443</v>
      </c>
      <c r="D24" s="37">
        <v>39994296.562859438</v>
      </c>
    </row>
    <row r="26" spans="1:9" x14ac:dyDescent="0.35">
      <c r="A26" t="s">
        <v>6</v>
      </c>
      <c r="B26" t="s">
        <v>524</v>
      </c>
    </row>
    <row r="28" spans="1:9" x14ac:dyDescent="0.35">
      <c r="A28" t="s">
        <v>516</v>
      </c>
      <c r="B28" t="s">
        <v>521</v>
      </c>
    </row>
    <row r="29" spans="1:9" x14ac:dyDescent="0.35">
      <c r="A29" t="s">
        <v>515</v>
      </c>
      <c r="B29" t="s">
        <v>54</v>
      </c>
      <c r="C29" t="s">
        <v>38</v>
      </c>
      <c r="D29" t="s">
        <v>32</v>
      </c>
      <c r="E29" t="s">
        <v>523</v>
      </c>
    </row>
    <row r="30" spans="1:9" x14ac:dyDescent="0.35">
      <c r="A30" s="27" t="s">
        <v>50</v>
      </c>
      <c r="B30" s="37"/>
      <c r="C30" s="37">
        <v>6383177.607409738</v>
      </c>
      <c r="D30" s="37">
        <v>415480.37099999998</v>
      </c>
      <c r="E30" s="37">
        <v>6798657.9784097383</v>
      </c>
    </row>
    <row r="31" spans="1:9" x14ac:dyDescent="0.35">
      <c r="A31" s="27" t="s">
        <v>66</v>
      </c>
      <c r="B31" s="37"/>
      <c r="C31" s="37"/>
      <c r="D31" s="37">
        <v>4715173.3696171157</v>
      </c>
      <c r="E31" s="37">
        <v>4715173.3696171157</v>
      </c>
      <c r="G31" t="s">
        <v>4</v>
      </c>
      <c r="H31" t="s">
        <v>46</v>
      </c>
    </row>
    <row r="32" spans="1:9" x14ac:dyDescent="0.35">
      <c r="A32" s="27" t="s">
        <v>28</v>
      </c>
      <c r="B32" s="37"/>
      <c r="C32" s="37">
        <v>0</v>
      </c>
      <c r="D32" s="37"/>
      <c r="E32" s="37">
        <v>0</v>
      </c>
    </row>
    <row r="33" spans="1:9" x14ac:dyDescent="0.35">
      <c r="A33" s="27" t="s">
        <v>29</v>
      </c>
      <c r="B33" s="37">
        <v>0</v>
      </c>
      <c r="C33" s="37">
        <v>2220058.6402457999</v>
      </c>
      <c r="D33" s="37">
        <v>11813406.863668762</v>
      </c>
      <c r="E33" s="37">
        <v>14033465.503914561</v>
      </c>
      <c r="G33" t="s">
        <v>516</v>
      </c>
      <c r="H33" t="s">
        <v>521</v>
      </c>
    </row>
    <row r="34" spans="1:9" x14ac:dyDescent="0.35">
      <c r="A34" s="27" t="s">
        <v>36</v>
      </c>
      <c r="B34" s="37">
        <v>0</v>
      </c>
      <c r="C34" s="37">
        <v>3453076.4182983194</v>
      </c>
      <c r="D34" s="37">
        <v>6340748.7526197135</v>
      </c>
      <c r="E34" s="37">
        <v>9793825.1709180325</v>
      </c>
      <c r="G34" t="s">
        <v>515</v>
      </c>
      <c r="H34" t="s">
        <v>46</v>
      </c>
      <c r="I34" t="s">
        <v>523</v>
      </c>
    </row>
    <row r="35" spans="1:9" x14ac:dyDescent="0.35">
      <c r="A35" s="27" t="s">
        <v>101</v>
      </c>
      <c r="B35" s="37"/>
      <c r="C35" s="37">
        <v>118913.47142857144</v>
      </c>
      <c r="D35" s="37">
        <v>599277.51964285725</v>
      </c>
      <c r="E35" s="37">
        <v>718190.99107142864</v>
      </c>
      <c r="G35" s="27" t="s">
        <v>54</v>
      </c>
      <c r="H35" s="37">
        <v>13654228.619999999</v>
      </c>
      <c r="I35" s="37">
        <v>13654228.619999999</v>
      </c>
    </row>
    <row r="36" spans="1:9" x14ac:dyDescent="0.35">
      <c r="A36" s="27" t="s">
        <v>124</v>
      </c>
      <c r="B36" s="37">
        <v>715025.17857142864</v>
      </c>
      <c r="C36" s="37"/>
      <c r="D36" s="37"/>
      <c r="E36" s="37">
        <v>715025.17857142864</v>
      </c>
      <c r="G36" s="27" t="s">
        <v>32</v>
      </c>
      <c r="H36" s="37">
        <v>2104842.4900000002</v>
      </c>
      <c r="I36" s="37">
        <v>2104842.4900000002</v>
      </c>
    </row>
    <row r="37" spans="1:9" x14ac:dyDescent="0.35">
      <c r="A37" s="27" t="s">
        <v>60</v>
      </c>
      <c r="B37" s="37"/>
      <c r="C37" s="37">
        <v>2160742.2392857145</v>
      </c>
      <c r="D37" s="37">
        <v>357613.12321428582</v>
      </c>
      <c r="E37" s="37">
        <v>2518355.3625000003</v>
      </c>
      <c r="G37" s="27" t="s">
        <v>523</v>
      </c>
      <c r="H37" s="37">
        <v>15759071.109999999</v>
      </c>
      <c r="I37" s="37">
        <v>15759071.109999999</v>
      </c>
    </row>
    <row r="38" spans="1:9" x14ac:dyDescent="0.35">
      <c r="A38" s="27" t="s">
        <v>92</v>
      </c>
      <c r="B38" s="37"/>
      <c r="C38" s="37">
        <v>389412.60785714287</v>
      </c>
      <c r="D38" s="37">
        <v>312190.40000000002</v>
      </c>
      <c r="E38" s="37">
        <v>701603.00785714295</v>
      </c>
    </row>
    <row r="39" spans="1:9" x14ac:dyDescent="0.35">
      <c r="A39" s="27" t="s">
        <v>523</v>
      </c>
      <c r="B39" s="37">
        <v>715025.17857142864</v>
      </c>
      <c r="C39" s="37">
        <v>14725380.984525286</v>
      </c>
      <c r="D39" s="37">
        <v>24553890.399762731</v>
      </c>
      <c r="E39" s="37">
        <v>39994296.562859438</v>
      </c>
    </row>
    <row r="50" spans="1:4" x14ac:dyDescent="0.35">
      <c r="A50" t="s">
        <v>2</v>
      </c>
      <c r="B50" t="s">
        <v>525</v>
      </c>
    </row>
    <row r="51" spans="1:4" x14ac:dyDescent="0.35">
      <c r="A51" t="s">
        <v>8</v>
      </c>
      <c r="B51" t="s">
        <v>524</v>
      </c>
    </row>
    <row r="52" spans="1:4" x14ac:dyDescent="0.35">
      <c r="A52" t="s">
        <v>7</v>
      </c>
      <c r="B52" t="s">
        <v>524</v>
      </c>
    </row>
    <row r="53" spans="1:4" x14ac:dyDescent="0.35">
      <c r="A53" t="s">
        <v>12</v>
      </c>
      <c r="B53" t="s">
        <v>524</v>
      </c>
    </row>
    <row r="55" spans="1:4" x14ac:dyDescent="0.35">
      <c r="A55" t="s">
        <v>515</v>
      </c>
      <c r="B55" t="s">
        <v>526</v>
      </c>
      <c r="C55" t="s">
        <v>516</v>
      </c>
    </row>
    <row r="56" spans="1:4" x14ac:dyDescent="0.35">
      <c r="A56" s="27" t="s">
        <v>43</v>
      </c>
      <c r="B56" s="37">
        <v>7736612.7999999998</v>
      </c>
      <c r="C56" s="37">
        <v>7098738.3100000005</v>
      </c>
      <c r="D56" s="49">
        <f>B56-C56</f>
        <v>637874.48999999929</v>
      </c>
    </row>
    <row r="57" spans="1:4" x14ac:dyDescent="0.35">
      <c r="A57" s="27" t="s">
        <v>209</v>
      </c>
      <c r="B57" s="37">
        <v>5975.6696428571431</v>
      </c>
      <c r="C57" s="37">
        <v>24677.571428571431</v>
      </c>
      <c r="D57" s="49">
        <f t="shared" ref="D57:D101" si="0">B57-C57</f>
        <v>-18701.90178571429</v>
      </c>
    </row>
    <row r="58" spans="1:4" x14ac:dyDescent="0.35">
      <c r="A58" s="27" t="s">
        <v>520</v>
      </c>
      <c r="B58" s="37">
        <v>7742588.4696428571</v>
      </c>
      <c r="C58" s="37">
        <v>7123415.8814285723</v>
      </c>
      <c r="D58" s="49">
        <f t="shared" si="0"/>
        <v>619172.58821428474</v>
      </c>
    </row>
    <row r="59" spans="1:4" x14ac:dyDescent="0.35">
      <c r="D59" s="49">
        <f t="shared" si="0"/>
        <v>0</v>
      </c>
    </row>
    <row r="60" spans="1:4" x14ac:dyDescent="0.35">
      <c r="D60" s="49">
        <f t="shared" si="0"/>
        <v>0</v>
      </c>
    </row>
    <row r="61" spans="1:4" x14ac:dyDescent="0.35">
      <c r="D61" s="49">
        <f t="shared" si="0"/>
        <v>0</v>
      </c>
    </row>
    <row r="62" spans="1:4" x14ac:dyDescent="0.35">
      <c r="D62" s="49">
        <f t="shared" si="0"/>
        <v>0</v>
      </c>
    </row>
    <row r="63" spans="1:4" x14ac:dyDescent="0.35">
      <c r="D63" s="49">
        <f t="shared" si="0"/>
        <v>0</v>
      </c>
    </row>
    <row r="64" spans="1:4" x14ac:dyDescent="0.35">
      <c r="D64" s="49">
        <f t="shared" si="0"/>
        <v>0</v>
      </c>
    </row>
    <row r="65" spans="4:4" x14ac:dyDescent="0.35">
      <c r="D65" s="49">
        <f t="shared" si="0"/>
        <v>0</v>
      </c>
    </row>
    <row r="66" spans="4:4" x14ac:dyDescent="0.35">
      <c r="D66" s="49">
        <f t="shared" si="0"/>
        <v>0</v>
      </c>
    </row>
    <row r="67" spans="4:4" x14ac:dyDescent="0.35">
      <c r="D67" s="49">
        <f t="shared" si="0"/>
        <v>0</v>
      </c>
    </row>
    <row r="68" spans="4:4" x14ac:dyDescent="0.35">
      <c r="D68" s="49">
        <f t="shared" si="0"/>
        <v>0</v>
      </c>
    </row>
    <row r="69" spans="4:4" x14ac:dyDescent="0.35">
      <c r="D69" s="49">
        <f t="shared" si="0"/>
        <v>0</v>
      </c>
    </row>
    <row r="70" spans="4:4" x14ac:dyDescent="0.35">
      <c r="D70" s="49">
        <f t="shared" si="0"/>
        <v>0</v>
      </c>
    </row>
    <row r="71" spans="4:4" x14ac:dyDescent="0.35">
      <c r="D71" s="49">
        <f t="shared" si="0"/>
        <v>0</v>
      </c>
    </row>
    <row r="72" spans="4:4" x14ac:dyDescent="0.35">
      <c r="D72" s="49">
        <f t="shared" si="0"/>
        <v>0</v>
      </c>
    </row>
    <row r="73" spans="4:4" x14ac:dyDescent="0.35">
      <c r="D73" s="49">
        <f t="shared" si="0"/>
        <v>0</v>
      </c>
    </row>
    <row r="74" spans="4:4" x14ac:dyDescent="0.35">
      <c r="D74" s="49">
        <f t="shared" si="0"/>
        <v>0</v>
      </c>
    </row>
    <row r="75" spans="4:4" x14ac:dyDescent="0.35">
      <c r="D75" s="49">
        <f t="shared" si="0"/>
        <v>0</v>
      </c>
    </row>
    <row r="76" spans="4:4" x14ac:dyDescent="0.35">
      <c r="D76" s="49">
        <f t="shared" si="0"/>
        <v>0</v>
      </c>
    </row>
    <row r="77" spans="4:4" x14ac:dyDescent="0.35">
      <c r="D77" s="49">
        <f t="shared" si="0"/>
        <v>0</v>
      </c>
    </row>
    <row r="78" spans="4:4" x14ac:dyDescent="0.35">
      <c r="D78" s="49">
        <f t="shared" si="0"/>
        <v>0</v>
      </c>
    </row>
    <row r="79" spans="4:4" x14ac:dyDescent="0.35">
      <c r="D79" s="49">
        <f t="shared" si="0"/>
        <v>0</v>
      </c>
    </row>
    <row r="80" spans="4:4" x14ac:dyDescent="0.35">
      <c r="D80" s="49">
        <f t="shared" si="0"/>
        <v>0</v>
      </c>
    </row>
    <row r="81" spans="4:6" x14ac:dyDescent="0.35">
      <c r="D81" s="49">
        <f t="shared" si="0"/>
        <v>0</v>
      </c>
    </row>
    <row r="82" spans="4:6" x14ac:dyDescent="0.35">
      <c r="D82" s="49">
        <f t="shared" si="0"/>
        <v>0</v>
      </c>
    </row>
    <row r="83" spans="4:6" x14ac:dyDescent="0.35">
      <c r="D83" s="49">
        <f t="shared" si="0"/>
        <v>0</v>
      </c>
    </row>
    <row r="84" spans="4:6" x14ac:dyDescent="0.35">
      <c r="D84" s="49">
        <f t="shared" si="0"/>
        <v>0</v>
      </c>
    </row>
    <row r="85" spans="4:6" x14ac:dyDescent="0.35">
      <c r="D85" s="49">
        <f t="shared" si="0"/>
        <v>0</v>
      </c>
    </row>
    <row r="86" spans="4:6" x14ac:dyDescent="0.35">
      <c r="D86" s="49">
        <f t="shared" si="0"/>
        <v>0</v>
      </c>
    </row>
    <row r="87" spans="4:6" x14ac:dyDescent="0.35">
      <c r="D87" s="49">
        <f t="shared" si="0"/>
        <v>0</v>
      </c>
    </row>
    <row r="88" spans="4:6" x14ac:dyDescent="0.35">
      <c r="D88" s="49">
        <f t="shared" si="0"/>
        <v>0</v>
      </c>
    </row>
    <row r="89" spans="4:6" x14ac:dyDescent="0.35">
      <c r="D89" s="49">
        <f t="shared" si="0"/>
        <v>0</v>
      </c>
    </row>
    <row r="90" spans="4:6" x14ac:dyDescent="0.35">
      <c r="D90" s="49">
        <f t="shared" si="0"/>
        <v>0</v>
      </c>
    </row>
    <row r="91" spans="4:6" x14ac:dyDescent="0.35">
      <c r="D91" s="49">
        <f t="shared" si="0"/>
        <v>0</v>
      </c>
    </row>
    <row r="92" spans="4:6" x14ac:dyDescent="0.35">
      <c r="D92" s="49">
        <f t="shared" si="0"/>
        <v>0</v>
      </c>
    </row>
    <row r="93" spans="4:6" x14ac:dyDescent="0.35">
      <c r="D93" s="49">
        <f t="shared" si="0"/>
        <v>0</v>
      </c>
      <c r="E93" s="50"/>
      <c r="F93" s="50"/>
    </row>
    <row r="94" spans="4:6" x14ac:dyDescent="0.35">
      <c r="D94" s="49">
        <f t="shared" si="0"/>
        <v>0</v>
      </c>
      <c r="E94" s="51"/>
      <c r="F94" s="51"/>
    </row>
    <row r="95" spans="4:6" x14ac:dyDescent="0.35">
      <c r="D95" s="49">
        <f t="shared" si="0"/>
        <v>0</v>
      </c>
      <c r="E95" s="51"/>
      <c r="F95" s="51"/>
    </row>
    <row r="96" spans="4:6" x14ac:dyDescent="0.35">
      <c r="D96" s="49">
        <f t="shared" si="0"/>
        <v>0</v>
      </c>
      <c r="E96" s="51"/>
      <c r="F96" s="51"/>
    </row>
    <row r="97" spans="1:7" x14ac:dyDescent="0.35">
      <c r="D97" s="49">
        <f t="shared" si="0"/>
        <v>0</v>
      </c>
      <c r="E97" s="51"/>
      <c r="F97" s="51"/>
      <c r="G97" s="51"/>
    </row>
    <row r="98" spans="1:7" x14ac:dyDescent="0.35">
      <c r="D98" s="49">
        <f t="shared" si="0"/>
        <v>0</v>
      </c>
      <c r="E98" s="51"/>
      <c r="F98" s="51"/>
      <c r="G98" s="51"/>
    </row>
    <row r="99" spans="1:7" x14ac:dyDescent="0.35">
      <c r="D99" s="49">
        <f t="shared" si="0"/>
        <v>0</v>
      </c>
      <c r="E99" s="51"/>
      <c r="F99" s="51"/>
      <c r="G99" s="51"/>
    </row>
    <row r="100" spans="1:7" x14ac:dyDescent="0.35">
      <c r="D100" s="49">
        <f t="shared" si="0"/>
        <v>0</v>
      </c>
      <c r="E100" s="51"/>
      <c r="F100" s="51"/>
      <c r="G100" s="51"/>
    </row>
    <row r="101" spans="1:7" x14ac:dyDescent="0.35">
      <c r="D101" s="49">
        <f t="shared" si="0"/>
        <v>0</v>
      </c>
      <c r="E101" s="51"/>
      <c r="F101" s="51"/>
      <c r="G101" s="51"/>
    </row>
    <row r="102" spans="1:7" x14ac:dyDescent="0.35">
      <c r="A102" s="52"/>
      <c r="B102" s="51"/>
      <c r="C102" s="51"/>
      <c r="D102" s="51"/>
      <c r="E102" s="51"/>
      <c r="F102" s="51"/>
      <c r="G102" s="51"/>
    </row>
    <row r="103" spans="1:7" x14ac:dyDescent="0.35">
      <c r="A103" s="52"/>
      <c r="B103" s="51"/>
      <c r="C103" s="51"/>
      <c r="D103" s="51"/>
      <c r="E103" s="51"/>
      <c r="F103" s="51"/>
      <c r="G103" s="51"/>
    </row>
    <row r="104" spans="1:7" x14ac:dyDescent="0.35">
      <c r="A104" s="53"/>
      <c r="B104" s="51"/>
      <c r="C104" s="51"/>
      <c r="D104" s="51"/>
      <c r="E104" s="51"/>
      <c r="F104" s="51"/>
      <c r="G104" s="51"/>
    </row>
    <row r="105" spans="1:7" x14ac:dyDescent="0.35">
      <c r="B105" s="51"/>
      <c r="C105" s="51"/>
      <c r="D105" s="51"/>
      <c r="E105" s="51"/>
      <c r="F105" s="51"/>
      <c r="G105" s="51"/>
    </row>
    <row r="106" spans="1:7" x14ac:dyDescent="0.35">
      <c r="F106" s="51"/>
      <c r="G106" s="51"/>
    </row>
    <row r="107" spans="1:7" x14ac:dyDescent="0.35">
      <c r="F107" s="51"/>
      <c r="G107" s="51"/>
    </row>
    <row r="108" spans="1:7" x14ac:dyDescent="0.35">
      <c r="F108" s="51"/>
      <c r="G108" s="51"/>
    </row>
  </sheetData>
  <pageMargins left="0.511811024" right="0.511811024" top="0.78740157499999996" bottom="0.78740157499999996" header="0.31496062000000002" footer="0.31496062000000002"/>
  <headerFooter>
    <oddHeader>&amp;R&amp;"Arial"&amp;8&amp;K000000 [OFFICIAL]&amp;1#_x000D_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Resultados</vt:lpstr>
    </vt:vector>
  </TitlesOfParts>
  <Company>AngloAmerican and Debeers Group of Companies.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Silva, Arthur Jorge</dc:creator>
  <cp:lastModifiedBy>Silva, Arthur Jorge</cp:lastModifiedBy>
  <dcterms:created xsi:type="dcterms:W3CDTF">2026-08-20T18:41:41Z</dcterms:created>
  <dcterms:modified xsi:type="dcterms:W3CDTF">2026-08-20T18:45:50Z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f2a5e4-10d8-4dfe-8082-7352c27520cb_Enabled">
    <vt:lpwstr>true</vt:lpwstr>
  </property>
  <property fmtid="{D5CDD505-2E9C-101B-9397-08002B2CF9AE}" pid="3" name="MSIP_Label_e3f2a5e4-10d8-4dfe-8082-7352c27520cb_SetDate">
    <vt:lpwstr>2026-08-20T18:45:31Z</vt:lpwstr>
  </property>
  <property fmtid="{D5CDD505-2E9C-101B-9397-08002B2CF9AE}" pid="4" name="MSIP_Label_e3f2a5e4-10d8-4dfe-8082-7352c27520cb_Method">
    <vt:lpwstr>Standard</vt:lpwstr>
  </property>
  <property fmtid="{D5CDD505-2E9C-101B-9397-08002B2CF9AE}" pid="5" name="MSIP_Label_e3f2a5e4-10d8-4dfe-8082-7352c27520cb_Name">
    <vt:lpwstr>_Official</vt:lpwstr>
  </property>
  <property fmtid="{D5CDD505-2E9C-101B-9397-08002B2CF9AE}" pid="6" name="MSIP_Label_e3f2a5e4-10d8-4dfe-8082-7352c27520cb_SiteId">
    <vt:lpwstr>2864f69d-77c3-4fbe-bbc0-97502052391a</vt:lpwstr>
  </property>
  <property fmtid="{D5CDD505-2E9C-101B-9397-08002B2CF9AE}" pid="7" name="MSIP_Label_e3f2a5e4-10d8-4dfe-8082-7352c27520cb_ActionId">
    <vt:lpwstr>b4595b4d-efba-45e9-9995-e3f6d0bc100f</vt:lpwstr>
  </property>
  <property fmtid="{D5CDD505-2E9C-101B-9397-08002B2CF9AE}" pid="8" name="MSIP_Label_e3f2a5e4-10d8-4dfe-8082-7352c27520cb_ContentBits">
    <vt:lpwstr>1</vt:lpwstr>
  </property>
  <property fmtid="{D5CDD505-2E9C-101B-9397-08002B2CF9AE}" pid="9" name="MSIP_Label_e3f2a5e4-10d8-4dfe-8082-7352c27520cb_Tag">
    <vt:lpwstr>10, 3, 0, 1</vt:lpwstr>
  </property>
</Properties>
</file>